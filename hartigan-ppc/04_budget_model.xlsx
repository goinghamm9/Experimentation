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Keywords" sheetId="2" state="visible" r:id="rId4"/>
    <sheet name="Tiers" sheetId="3" state="visible" r:id="rId5"/>
    <sheet name="Pilot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<sst xmlns="http://schemas.openxmlformats.org/spreadsheetml/2006/main" count="1661" uniqueCount="525">
  <si>
    <t xml:space="preserve">Assumptions: every input to the budget model (Dr. David Hartigan, Google Ads proposal, run date 2026-09-24)</t>
  </si>
  <si>
    <t xml:space="preserve">Legend: cells in blue text on a light yellow fill are inputs Kristina may change live on a call. Black cells are labels. The Tiers and Pilot Plan tabs are formulas only and recalculate from this tab.</t>
  </si>
  <si>
    <t xml:space="preserve">Low, base, and high are the values used by the Low, Base, and High columns of the Tiers tab. Every volume is modeled and low confidence (02_keyword_summary.md). National benchmarks (B1 to B3) are national, not Twin Cities figures.</t>
  </si>
  <si>
    <t xml:space="preserve">Input</t>
  </si>
  <si>
    <t xml:space="preserve">ID (source or assumption)</t>
  </si>
  <si>
    <t xml:space="preserve">Units</t>
  </si>
  <si>
    <t xml:space="preserve">Low</t>
  </si>
  <si>
    <t xml:space="preserve">Base</t>
  </si>
  <si>
    <t xml:space="preserve">High</t>
  </si>
  <si>
    <t xml:space="preserve">Notes</t>
  </si>
  <si>
    <t xml:space="preserve">1. Demand ceilings: Tier 1 plus Tier 2 monthly searches by cluster (from 02_keywords.csv sums; base is the geometric mean of low and high, D51)</t>
  </si>
  <si>
    <t xml:space="preserve">Hip replacement: Tier 1 plus Tier 2 searches per month (metro)</t>
  </si>
  <si>
    <t xml:space="preserve">B63; D51</t>
  </si>
  <si>
    <t xml:space="preserve">searches per month</t>
  </si>
  <si>
    <t xml:space="preserve">Low and high are the metro ceilings in 02_keyword_summary.md (hip preservation: metro low to the O11 ring high, between metro and Minnesota). Base = geometric mean rounded to two significant figures (D51).</t>
  </si>
  <si>
    <t xml:space="preserve">Knee replacement: Tier 1 plus Tier 2 searches per month (metro)</t>
  </si>
  <si>
    <t xml:space="preserve">Hip preservation: Tier 1 plus Tier 2 searches per month (metro plus 60-mile ring (O11))</t>
  </si>
  <si>
    <t xml:space="preserve">B63; O11; D51</t>
  </si>
  <si>
    <t xml:space="preserve">ACL reconstruction: Tier 1 plus Tier 2 searches per month (metro)</t>
  </si>
  <si>
    <t xml:space="preserve">Meniscus repair: Tier 1 plus Tier 2 searches per month (metro)</t>
  </si>
  <si>
    <t xml:space="preserve">Rotator cuff repair: Tier 1 plus Tier 2 searches per month (metro)</t>
  </si>
  <si>
    <t xml:space="preserve">2. Tier 3 condition research monthly searches by cluster (from 02_keywords.csv; enter the model only through the Tier 3 inclusion share, section 5)</t>
  </si>
  <si>
    <t xml:space="preserve">Hip replacement: Tier 3 searches per month (metro)</t>
  </si>
  <si>
    <t xml:space="preserve">B63; B65; D51</t>
  </si>
  <si>
    <t xml:space="preserve">Sum of the Tier 3 rows in 02_keywords.csv for the metro; hip preservation high scaled to the ring per O11 and B53. Base = geometric mean (D51). Tier 3 clicks are discounted for AI Overviews (B65) through the inclusion share.</t>
  </si>
  <si>
    <t xml:space="preserve">Knee replacement: Tier 3 searches per month (metro)</t>
  </si>
  <si>
    <t xml:space="preserve">Hip preservation: Tier 3 searches per month (metro plus 60-mile ring (O11))</t>
  </si>
  <si>
    <t xml:space="preserve">ACL reconstruction: Tier 3 searches per month (metro)</t>
  </si>
  <si>
    <t xml:space="preserve">Meniscus repair: Tier 3 searches per month (metro)</t>
  </si>
  <si>
    <t xml:space="preserve">Rotator cuff repair: Tier 3 searches per month (metro)</t>
  </si>
  <si>
    <t xml:space="preserve">3. Query expansion and achievable impression share</t>
  </si>
  <si>
    <t xml:space="preserve">Phrase-match query expansion factor (eligible searches per listed keyword search)</t>
  </si>
  <si>
    <t xml:space="preserve">D12; D52</t>
  </si>
  <si>
    <t xml:space="preserve">multiplier</t>
  </si>
  <si>
    <t xml:space="preserve">Phrase match also serves for queries that include the meaning of the keyword (D12), so eligible searches exceed the keyword list volume. Low = no expansion beyond the list; replaced by the day 30 impression share report.</t>
  </si>
  <si>
    <t xml:space="preserve">Achievable search impression share on Tier 1 and Tier 2 terms if budget allowed</t>
  </si>
  <si>
    <t xml:space="preserve">D11; D13; D53</t>
  </si>
  <si>
    <t xml:space="preserve">share of eligible impressions</t>
  </si>
  <si>
    <t xml:space="preserve">A surgeon-level advertiser against hospital systems; blog benchmarks put high-intent non-brand campaigns at 60% to 80% (D11, low reliability). Observed from the impression share columns after launch (D13).</t>
  </si>
  <si>
    <t xml:space="preserve">4. Click-through rate by budget tier (blended across the terms each tier runs)</t>
  </si>
  <si>
    <t xml:space="preserve">Pilot: search CTR</t>
  </si>
  <si>
    <t xml:space="preserve">B1; D54</t>
  </si>
  <si>
    <t xml:space="preserve">clicks per impression</t>
  </si>
  <si>
    <t xml:space="preserve">National physicians and surgeons CTR is 6.61% (B1, 2026). Pilot runs the tightest surgeon-seeking and procedure terms, so its CTR sits above the category; Growth and Full add broader terms and Tier 3 tests, which lower the blend (D54).</t>
  </si>
  <si>
    <t xml:space="preserve">Growth: search CTR</t>
  </si>
  <si>
    <t xml:space="preserve">Full coverage: search CTR</t>
  </si>
  <si>
    <t xml:space="preserve">5. Tier 3 inclusion share by budget tier (share of Tier 3 searches added to the eligible pool after the AI Overview discount)</t>
  </si>
  <si>
    <t xml:space="preserve">Pilot: Tier 3 inclusion share</t>
  </si>
  <si>
    <t xml:space="preserve">B65; D55</t>
  </si>
  <si>
    <t xml:space="preserve">share of Tier 3 searches</t>
  </si>
  <si>
    <t xml:space="preserve">Pilot runs no Tier 3 terms. Growth adds arthritis treatment tests; Full adds cost and condition tests. Held equal across cases (a scope decision, not an uncertainty).</t>
  </si>
  <si>
    <t xml:space="preserve">Growth: Tier 3 inclusion share</t>
  </si>
  <si>
    <t xml:space="preserve">Full coverage: Tier 3 inclusion share</t>
  </si>
  <si>
    <t xml:space="preserve">6. Cost per click by cluster and budget tier (dollars per click)</t>
  </si>
  <si>
    <t xml:space="preserve">Pilot: Hip replacement CPC</t>
  </si>
  <si>
    <t xml:space="preserve">B60; D64</t>
  </si>
  <si>
    <t xml:space="preserve">dollars per click</t>
  </si>
  <si>
    <t xml:space="preserve">Pilot: blend of Tier 1 ($7 to $22) and Tier 2 ($6 to $16) modeled CPCs (B60), leaning to Tier 1; volume-weighted CSV range is $5.6 to $15.2 for hip and knee, $4.4 to $5.2 low and $11 to $12.7 high for the other clusters. Not a Twin Cities figure; replaced by the first 30 days of auction data.</t>
  </si>
  <si>
    <t xml:space="preserve">Pilot: Knee replacement CPC</t>
  </si>
  <si>
    <t xml:space="preserve">Pilot: Hip preservation CPC</t>
  </si>
  <si>
    <t xml:space="preserve">Pilot: ACL reconstruction CPC</t>
  </si>
  <si>
    <t xml:space="preserve">Pilot: Meniscus repair CPC</t>
  </si>
  <si>
    <t xml:space="preserve">Pilot: Rotator cuff repair CPC</t>
  </si>
  <si>
    <t xml:space="preserve">Growth: Hip replacement CPC</t>
  </si>
  <si>
    <t xml:space="preserve">Growth = Pilot CPC x 1.1: reaching more of the auction needs higher bids and adds more competitive terms (D64). Not a Twin Cities figure; replaced by the first 30 days of auction data.</t>
  </si>
  <si>
    <t xml:space="preserve">Growth: Knee replacement CPC</t>
  </si>
  <si>
    <t xml:space="preserve">Growth: Hip preservation CPC</t>
  </si>
  <si>
    <t xml:space="preserve">Growth: ACL reconstruction CPC</t>
  </si>
  <si>
    <t xml:space="preserve">Growth: Meniscus repair CPC</t>
  </si>
  <si>
    <t xml:space="preserve">Growth: Rotator cuff repair CPC</t>
  </si>
  <si>
    <t xml:space="preserve">Full coverage: Hip replacement CPC</t>
  </si>
  <si>
    <t xml:space="preserve">Full coverage = Pilot CPC x 1.2: reaching more of the auction needs higher bids and adds more competitive terms (D64). Not a Twin Cities figure; replaced by the first 30 days of auction data.</t>
  </si>
  <si>
    <t xml:space="preserve">Full coverage: Knee replacement CPC</t>
  </si>
  <si>
    <t xml:space="preserve">Full coverage: Hip preservation CPC</t>
  </si>
  <si>
    <t xml:space="preserve">Full coverage: ACL reconstruction CPC</t>
  </si>
  <si>
    <t xml:space="preserve">Full coverage: Meniscus repair CPC</t>
  </si>
  <si>
    <t xml:space="preserve">Full coverage: Rotator cuff repair CPC</t>
  </si>
  <si>
    <t xml:space="preserve">7. Funnel rates (click, contact, qualified inquiry, consult booked, consult attended)</t>
  </si>
  <si>
    <t xml:space="preserve">Click to contact rate (call of 60 seconds or more, or form)</t>
  </si>
  <si>
    <t xml:space="preserve">B1; B2; D56</t>
  </si>
  <si>
    <t xml:space="preserve">rate</t>
  </si>
  <si>
    <t xml:space="preserve">National physicians and surgeons conversion rates of 12.43% (B1, 2026) and 11.62% (B2, 2025) are the anchor; base is set below them because surgical searches carry a longer decision and the primary conversion counts only 60-second calls and forms.</t>
  </si>
  <si>
    <t xml:space="preserve">Contact to qualified inquiry rate (rubric in 03_measurement_compliance.md, C50)</t>
  </si>
  <si>
    <t xml:space="preserve">D9; D14; C57; D57</t>
  </si>
  <si>
    <t xml:space="preserve">No orthopedic benchmark exists. Invoca reports 42% of healthcare calls book an appointment on the call (D9); agency claims of 1 in 9 inquiries converting (D14, low reliability) set the pessimistic end. Practice-reported after month one.</t>
  </si>
  <si>
    <t xml:space="preserve">Qualified inquiry to consult booked rate</t>
  </si>
  <si>
    <t xml:space="preserve">D9; D58</t>
  </si>
  <si>
    <t xml:space="preserve">A qualified inquiry already passed the area, condition, and insurance screen, so booking should exceed the all-calls rate of 42% (D9). Depends on intake answer rate (C51).</t>
  </si>
  <si>
    <t xml:space="preserve">Consult booked to consult attended rate</t>
  </si>
  <si>
    <t xml:space="preserve">D10; D59</t>
  </si>
  <si>
    <t xml:space="preserve">Orthopedic clinic no-show studies range from 6.9% (arthroplasty) to 25.8% (hand), overall 11.5% (D10). New-patient visits from ads may no-show more than established patients.</t>
  </si>
  <si>
    <t xml:space="preserve">8. Monthly ad spend by tier (dollars; a decision, so the same in all three cases)</t>
  </si>
  <si>
    <t xml:space="preserve">Pilot: monthly ad spend cap</t>
  </si>
  <si>
    <t xml:space="preserve">D60</t>
  </si>
  <si>
    <t xml:space="preserve">dollars per month</t>
  </si>
  <si>
    <t xml:space="preserve">Media budget paid to Google, excluding management fees. Google stops spending when demand runs out, so deployed spend in the Tiers tab can be below this cap.</t>
  </si>
  <si>
    <t xml:space="preserve">Growth: monthly ad spend cap</t>
  </si>
  <si>
    <t xml:space="preserve">Full coverage: monthly ad spend cap</t>
  </si>
  <si>
    <t xml:space="preserve">9. Allocation of spend by cluster per tier (shares; dollars appear in the Tiers tab)</t>
  </si>
  <si>
    <t xml:space="preserve">Pilot: Hip replacement share of spend</t>
  </si>
  <si>
    <t xml:space="preserve">O13; D61</t>
  </si>
  <si>
    <t xml:space="preserve">share of tier spend</t>
  </si>
  <si>
    <t xml:space="preserve">Pilot concentrates on the three launch clusters (O13). ACL, meniscus, and rotator cuff run as one sports medicine campaign from Growth (or at the day 60 gate). Shares within a tier must sum to 100%.</t>
  </si>
  <si>
    <t xml:space="preserve">Pilot: Knee replacement share of spend</t>
  </si>
  <si>
    <t xml:space="preserve">Pilot: Hip preservation share of spend</t>
  </si>
  <si>
    <t xml:space="preserve">Pilot: ACL reconstruction share of spend</t>
  </si>
  <si>
    <t xml:space="preserve">Pilot: Meniscus repair share of spend</t>
  </si>
  <si>
    <t xml:space="preserve">Pilot: Rotator cuff repair share of spend</t>
  </si>
  <si>
    <t xml:space="preserve">Growth: Hip replacement share of spend</t>
  </si>
  <si>
    <t xml:space="preserve">Growth: Knee replacement share of spend</t>
  </si>
  <si>
    <t xml:space="preserve">Growth: Hip preservation share of spend</t>
  </si>
  <si>
    <t xml:space="preserve">Growth: ACL reconstruction share of spend</t>
  </si>
  <si>
    <t xml:space="preserve">Growth: Meniscus repair share of spend</t>
  </si>
  <si>
    <t xml:space="preserve">Growth: Rotator cuff repair share of spend</t>
  </si>
  <si>
    <t xml:space="preserve">Full coverage: Hip replacement share of spend</t>
  </si>
  <si>
    <t xml:space="preserve">Full coverage: Knee replacement share of spend</t>
  </si>
  <si>
    <t xml:space="preserve">Full coverage: Hip preservation share of spend</t>
  </si>
  <si>
    <t xml:space="preserve">Full coverage: ACL reconstruction share of spend</t>
  </si>
  <si>
    <t xml:space="preserve">Full coverage: Meniscus repair share of spend</t>
  </si>
  <si>
    <t xml:space="preserve">Full coverage: Rotator cuff repair share of spend</t>
  </si>
  <si>
    <t xml:space="preserve">10. Timing and bidding rules</t>
  </si>
  <si>
    <t xml:space="preserve">Pilot length</t>
  </si>
  <si>
    <t xml:space="preserve">D62</t>
  </si>
  <si>
    <t xml:space="preserve">months</t>
  </si>
  <si>
    <t xml:space="preserve">90-day pilot with gates at week 2, day 30, day 60, and day 90.</t>
  </si>
  <si>
    <t xml:space="preserve">Days per month used for daily budgets</t>
  </si>
  <si>
    <t xml:space="preserve">days</t>
  </si>
  <si>
    <t xml:space="preserve">Google Ads daily budget = monthly cap / 30.4 (Google bills to the monthly charging limit).</t>
  </si>
  <si>
    <t xml:space="preserve">Primary conversions in 30 days before switching to Maximize conversions</t>
  </si>
  <si>
    <t xml:space="preserve">C16; D63</t>
  </si>
  <si>
    <t xml:space="preserve">conversions</t>
  </si>
  <si>
    <t xml:space="preserve">Google states no minimum for Maximize conversions (C16); 15 verified conversions is our floor so the strategy has a signal to learn from.</t>
  </si>
  <si>
    <t xml:space="preserve">Primary conversions in 30 days before Target CPA</t>
  </si>
  <si>
    <t xml:space="preserve">C14; C15; C58</t>
  </si>
  <si>
    <t xml:space="preserve">Google evaluates Target CPA over 30 days with at least 30 conversions (C14).</t>
  </si>
  <si>
    <t xml:space="preserve">cluster</t>
  </si>
  <si>
    <t xml:space="preserve">procedure</t>
  </si>
  <si>
    <t xml:space="preserve">keyword</t>
  </si>
  <si>
    <t xml:space="preserve">intent_tier</t>
  </si>
  <si>
    <t xml:space="preserve">match_type</t>
  </si>
  <si>
    <t xml:space="preserve">searches_low</t>
  </si>
  <si>
    <t xml:space="preserve">searches_high</t>
  </si>
  <si>
    <t xml:space="preserve">cpc_low</t>
  </si>
  <si>
    <t xml:space="preserve">cpc_high</t>
  </si>
  <si>
    <t xml:space="preserve">competition</t>
  </si>
  <si>
    <t xml:space="preserve">priority</t>
  </si>
  <si>
    <t xml:space="preserve">source_id</t>
  </si>
  <si>
    <t xml:space="preserve">confidence</t>
  </si>
  <si>
    <t xml:space="preserve">notes</t>
  </si>
  <si>
    <t xml:space="preserve">hip_replacement</t>
  </si>
  <si>
    <t xml:space="preserve">computer-navigated total hip replacement</t>
  </si>
  <si>
    <t xml:space="preserve">hip replacement surgeon</t>
  </si>
  <si>
    <t xml:space="preserve">phrase and exact</t>
  </si>
  <si>
    <t xml:space="preserve">high</t>
  </si>
  <si>
    <t xml:space="preserve">B8;B56;B57;B60</t>
  </si>
  <si>
    <t xml:space="preserve">low</t>
  </si>
  <si>
    <t xml:space="preserve">RFP seed. Surgeon-seeking share modeled at 3 to 8 pct of head term. National modeled 1800 to 4800.</t>
  </si>
  <si>
    <t xml:space="preserve">hip replacement doctor</t>
  </si>
  <si>
    <t xml:space="preserve">RFP seed. Doctor variant modeled at about 0.3x the surgeon variant. National modeled 500 to 1500.</t>
  </si>
  <si>
    <t xml:space="preserve">hip replacement surgeon near me</t>
  </si>
  <si>
    <t xml:space="preserve">B7;B57;B60</t>
  </si>
  <si>
    <t xml:space="preserve">Near me variant modeled at 0.8 to 1.0x the surgeon term (B7 shows near me terms rival plain terms). National modeled 1500 to 4500.</t>
  </si>
  <si>
    <t xml:space="preserve">hip surgeon near me</t>
  </si>
  <si>
    <t xml:space="preserve">phrase</t>
  </si>
  <si>
    <t xml:space="preserve">Broader than replacement; add negatives for arthroscopy-only intent if it drifts. National modeled 1500 to 4000.</t>
  </si>
  <si>
    <t xml:space="preserve">best hip replacement surgeon</t>
  </si>
  <si>
    <t xml:space="preserve">B57;B60</t>
  </si>
  <si>
    <t xml:space="preserve">Includes best ... near me close variants. National modeled 800 to 2500.</t>
  </si>
  <si>
    <t xml:space="preserve">hip surgeon Edina</t>
  </si>
  <si>
    <t xml:space="preserve">medium</t>
  </si>
  <si>
    <t xml:space="preserve">B58;B60</t>
  </si>
  <si>
    <t xml:space="preserve">Geo-modified; whole volume is local and counted as-is in every geography. Modeled 5 to 20 per month (B58).</t>
  </si>
  <si>
    <t xml:space="preserve">hip replacement surgeon Maple Grove</t>
  </si>
  <si>
    <t xml:space="preserve">hip surgeon Plymouth MN</t>
  </si>
  <si>
    <t xml:space="preserve">hip replacement surgeon Minneapolis</t>
  </si>
  <si>
    <t xml:space="preserve">Geo-modified; whole volume is local and counted as-is in every geography. Modeled 10 to 60 per month (B58).</t>
  </si>
  <si>
    <t xml:space="preserve">hip pain doctor</t>
  </si>
  <si>
    <t xml:space="preserve">Doctor-seeking on a condition; mixed intent (non-surgical). National modeled 1500 to 4000.</t>
  </si>
  <si>
    <t xml:space="preserve">hip pain specialist near me</t>
  </si>
  <si>
    <t xml:space="preserve">Mixed intent; route to hip hub page. National modeled 1000 to 3000.</t>
  </si>
  <si>
    <t xml:space="preserve">hip replacement</t>
  </si>
  <si>
    <t xml:space="preserve">B8;B56;B60</t>
  </si>
  <si>
    <t xml:space="preserve">Head term; research-heavy. Phrase match with heavy negatives; hold until Tier 1 data exists. National modeled 4x to 9x the B8 anchor.</t>
  </si>
  <si>
    <t xml:space="preserve">hip replacement surgery</t>
  </si>
  <si>
    <t xml:space="preserve">B8;B54;B60</t>
  </si>
  <si>
    <t xml:space="preserve">Third-party anchor 9900 per month (B8, undated, US presumed) with 0.7x to 1.3x band.</t>
  </si>
  <si>
    <t xml:space="preserve">total hip replacement</t>
  </si>
  <si>
    <t xml:space="preserve">B56;B60</t>
  </si>
  <si>
    <t xml:space="preserve">Modeled at roughly 0.1x the head term. National modeled 5000 to 12000.</t>
  </si>
  <si>
    <t xml:space="preserve">anterior hip replacement</t>
  </si>
  <si>
    <t xml:space="preserve">Approach interest is high nationally; only run if the surgeon offers this approach (unverified). National modeled 5000 to 12000.</t>
  </si>
  <si>
    <t xml:space="preserve">computer navigated hip replacement</t>
  </si>
  <si>
    <t xml:space="preserve">RFP procedure. Thin term; keep for message match, expect few searches. National modeled 100 to 400.</t>
  </si>
  <si>
    <t xml:space="preserve">robotic hip replacement</t>
  </si>
  <si>
    <t xml:space="preserve">B10;B56;B60</t>
  </si>
  <si>
    <t xml:space="preserve">Technology-adjacent; patients conflate robotic and navigated. Interest rising per B10. National modeled 1500 to 4000.</t>
  </si>
  <si>
    <t xml:space="preserve">outpatient hip replacement</t>
  </si>
  <si>
    <t xml:space="preserve">Same-day discharge interest; ties to the practice's outpatient listing (unverified). National modeled 800 to 2500.</t>
  </si>
  <si>
    <t xml:space="preserve">hip replacement near me</t>
  </si>
  <si>
    <t xml:space="preserve">Local intent without the word surgeon. National modeled 2000 to 6000.</t>
  </si>
  <si>
    <t xml:space="preserve">hip replacement Minneapolis</t>
  </si>
  <si>
    <t xml:space="preserve">hip arthritis treatment</t>
  </si>
  <si>
    <t xml:space="preserve">exact</t>
  </si>
  <si>
    <t xml:space="preserve">RFP seed (treatment for hip arthritis). Research intent; small budget cap. National modeled 3000 to 8000.</t>
  </si>
  <si>
    <t xml:space="preserve">treatment for hip arthritis</t>
  </si>
  <si>
    <t xml:space="preserve">RFP seed in natural form; Google may fold into the row above. National modeled 500 to 1500.</t>
  </si>
  <si>
    <t xml:space="preserve">hip osteoarthritis</t>
  </si>
  <si>
    <t xml:space="preserve">Condition head term; test only. National modeled 8000 to 20000.</t>
  </si>
  <si>
    <t xml:space="preserve">hip replacement cost</t>
  </si>
  <si>
    <t xml:space="preserve">Judgment call: keep as a test, not a negative; cost searchers can be candidates. National modeled 3000 to 8000.</t>
  </si>
  <si>
    <t xml:space="preserve">hip replacement recovery time</t>
  </si>
  <si>
    <t xml:space="preserve">Judgment call: recommend recovery as a negative in Tier 1 and 2 ad groups; most searchers are existing patients. Listed to size it. National modeled 5000 to 12000.</t>
  </si>
  <si>
    <t xml:space="preserve">knee_replacement</t>
  </si>
  <si>
    <t xml:space="preserve">robotic-assisted total knee replacement</t>
  </si>
  <si>
    <t xml:space="preserve">knee replacement surgeon</t>
  </si>
  <si>
    <t xml:space="preserve">B8;B9;B56;B57;B60</t>
  </si>
  <si>
    <t xml:space="preserve">RFP seed. Knee terms set at 1.29x hip (B9 GSVI ratio). National modeled 2300 to 6200.</t>
  </si>
  <si>
    <t xml:space="preserve">knee replacement doctor</t>
  </si>
  <si>
    <t xml:space="preserve">RFP seed. Doctor variant at about 0.3x the surgeon variant. National modeled 700 to 2000.</t>
  </si>
  <si>
    <t xml:space="preserve">knee replacement surgeon near me</t>
  </si>
  <si>
    <t xml:space="preserve">Near me variant at 0.8 to 1.0x the surgeon term. National modeled 2000 to 6000.</t>
  </si>
  <si>
    <t xml:space="preserve">knee surgeon near me</t>
  </si>
  <si>
    <t xml:space="preserve">Also captures sports knee intent; route by ad copy. National modeled 2000 to 5500.</t>
  </si>
  <si>
    <t xml:space="preserve">best knee replacement surgeon</t>
  </si>
  <si>
    <t xml:space="preserve">Includes near me close variants. National modeled 1000 to 3000.</t>
  </si>
  <si>
    <t xml:space="preserve">knee surgeon Edina</t>
  </si>
  <si>
    <t xml:space="preserve">knee replacement surgeon Maple Grove</t>
  </si>
  <si>
    <t xml:space="preserve">knee surgeon Plymouth MN</t>
  </si>
  <si>
    <t xml:space="preserve">knee replacement surgeon Minneapolis</t>
  </si>
  <si>
    <t xml:space="preserve">knee pain doctor</t>
  </si>
  <si>
    <t xml:space="preserve">Mixed intent (non-surgical, injections). National modeled 2000 to 5000.</t>
  </si>
  <si>
    <t xml:space="preserve">knee pain specialist near me</t>
  </si>
  <si>
    <t xml:space="preserve">Mixed intent; route to knee hub page. National modeled 1500 to 4000.</t>
  </si>
  <si>
    <t xml:space="preserve">knee replacement</t>
  </si>
  <si>
    <t xml:space="preserve">B8;B9;B56;B60</t>
  </si>
  <si>
    <t xml:space="preserve">Head term; research-heavy. Phrase match with heavy negatives; phase 2. National modeled at 1.29x hip head term.</t>
  </si>
  <si>
    <t xml:space="preserve">knee replacement surgery</t>
  </si>
  <si>
    <t xml:space="preserve">B8;B9;B54;B60</t>
  </si>
  <si>
    <t xml:space="preserve">Modeled from the B8 hip anchor times the B9 knee to hip ratio, with band. National modeled 9000 to 17000.</t>
  </si>
  <si>
    <t xml:space="preserve">total knee replacement</t>
  </si>
  <si>
    <t xml:space="preserve">Modeled at roughly 0.15x the head term. National modeled 8000 to 18000.</t>
  </si>
  <si>
    <t xml:space="preserve">robotic knee replacement</t>
  </si>
  <si>
    <t xml:space="preserve">RFP procedure. Interest rising per B10; device makers also advertise. National modeled 3000 to 8000.</t>
  </si>
  <si>
    <t xml:space="preserve">robotic assisted knee replacement</t>
  </si>
  <si>
    <t xml:space="preserve">RFP wording; Google may fold into robotic knee replacement. National modeled 800 to 2500.</t>
  </si>
  <si>
    <t xml:space="preserve">mako knee replacement</t>
  </si>
  <si>
    <t xml:space="preserve">Brand of robot; run only if the practice uses this system (unverified). National modeled 1500 to 4000.</t>
  </si>
  <si>
    <t xml:space="preserve">partial knee replacement</t>
  </si>
  <si>
    <t xml:space="preserve">Only if offered (unverified). National modeled 5000 to 12000.</t>
  </si>
  <si>
    <t xml:space="preserve">outpatient knee replacement</t>
  </si>
  <si>
    <t xml:space="preserve">Same-day discharge interest. National modeled 600 to 2000.</t>
  </si>
  <si>
    <t xml:space="preserve">knee replacement near me</t>
  </si>
  <si>
    <t xml:space="preserve">Local intent without the word surgeon. National modeled 2500 to 7000.</t>
  </si>
  <si>
    <t xml:space="preserve">knee replacement Minneapolis</t>
  </si>
  <si>
    <t xml:space="preserve">knee arthritis treatment</t>
  </si>
  <si>
    <t xml:space="preserve">RFP seed (treatment for knee arthritis). Research intent; small budget cap. National modeled 4000 to 10000.</t>
  </si>
  <si>
    <t xml:space="preserve">treatment for knee arthritis</t>
  </si>
  <si>
    <t xml:space="preserve">RFP seed in natural form. National modeled 600 to 2000.</t>
  </si>
  <si>
    <t xml:space="preserve">knee osteoarthritis</t>
  </si>
  <si>
    <t xml:space="preserve">Condition head term; test only. National modeled 15000 to 35000.</t>
  </si>
  <si>
    <t xml:space="preserve">bone on bone knee</t>
  </si>
  <si>
    <t xml:space="preserve">Late-stage arthritis language patients use; test. National modeled 5000 to 12000.</t>
  </si>
  <si>
    <t xml:space="preserve">knee replacement cost</t>
  </si>
  <si>
    <t xml:space="preserve">Judgment call: keep as a test, not a negative. National modeled 4000 to 10000.</t>
  </si>
  <si>
    <t xml:space="preserve">knee replacement recovery time</t>
  </si>
  <si>
    <t xml:space="preserve">Judgment call: recommend recovery as a negative in Tier 1 and 2 ad groups. Listed to size it. National modeled 6000 to 15000.</t>
  </si>
  <si>
    <t xml:space="preserve">hip_preservation</t>
  </si>
  <si>
    <t xml:space="preserve">hip arthroscopy for labral tears</t>
  </si>
  <si>
    <t xml:space="preserve">hip preservation surgeon</t>
  </si>
  <si>
    <t xml:space="preserve">B59;B60</t>
  </si>
  <si>
    <t xml:space="preserve">RFP seed. Subspecialty term; thin but high intent. National modeled 100 to 400.</t>
  </si>
  <si>
    <t xml:space="preserve">hip preservation doctor</t>
  </si>
  <si>
    <t xml:space="preserve">RFP seed. Very thin; Google may show low volume. National modeled 30 to 150.</t>
  </si>
  <si>
    <t xml:space="preserve">hip preservation specialist</t>
  </si>
  <si>
    <t xml:space="preserve">Close variant of the rows above. National modeled 50 to 200.</t>
  </si>
  <si>
    <t xml:space="preserve">labral repair surgeon</t>
  </si>
  <si>
    <t xml:space="preserve">RFP seed. Ambiguous with shoulder labrum; add hip to ad copy. National modeled 50 to 200.</t>
  </si>
  <si>
    <t xml:space="preserve">hip labral tear surgeon</t>
  </si>
  <si>
    <t xml:space="preserve">Core surgeon-seeking term for this cluster. National modeled 200 to 600.</t>
  </si>
  <si>
    <t xml:space="preserve">hip labral tear specialist near me</t>
  </si>
  <si>
    <t xml:space="preserve">Near me variant. National modeled 150 to 500.</t>
  </si>
  <si>
    <t xml:space="preserve">hip impingement surgeon</t>
  </si>
  <si>
    <t xml:space="preserve">RFP seed. National modeled 100 to 400.</t>
  </si>
  <si>
    <t xml:space="preserve">hip arthroscopy surgeon near me</t>
  </si>
  <si>
    <t xml:space="preserve">Procedure plus surgeon plus local. National modeled 150 to 500.</t>
  </si>
  <si>
    <t xml:space="preserve">hip arthroscopy surgeon Minneapolis</t>
  </si>
  <si>
    <t xml:space="preserve">Geo-modified; whole volume is local and counted as-is in every geography. Modeled 5 to 30 per month (B58).</t>
  </si>
  <si>
    <t xml:space="preserve">hip preservation Minnesota</t>
  </si>
  <si>
    <t xml:space="preserve">Geo-modified; whole volume is local and counted as-is in every geography. Statewide intent. Modeled 5 to 20 per month (B58).</t>
  </si>
  <si>
    <t xml:space="preserve">hip arthroscopy</t>
  </si>
  <si>
    <t xml:space="preserve">Procedure head term; mixed research and candidate intent. National modeled 5000 to 12000.</t>
  </si>
  <si>
    <t xml:space="preserve">hip arthroscopy labral tear</t>
  </si>
  <si>
    <t xml:space="preserve">Procedure plus condition. National modeled 300 to 1000.</t>
  </si>
  <si>
    <t xml:space="preserve">hip labral tear surgery</t>
  </si>
  <si>
    <t xml:space="preserve">Strongest Tier 2 term in the cluster. National modeled 1500 to 4000.</t>
  </si>
  <si>
    <t xml:space="preserve">hip impingement surgery</t>
  </si>
  <si>
    <t xml:space="preserve">National modeled 800 to 2500.</t>
  </si>
  <si>
    <t xml:space="preserve">FAI surgery</t>
  </si>
  <si>
    <t xml:space="preserve">Clinical abbreviation; ambiguous outside hip context; watch search terms. National modeled 300 to 1000.</t>
  </si>
  <si>
    <t xml:space="preserve">hip preservation surgery</t>
  </si>
  <si>
    <t xml:space="preserve">National modeled 200 to 600.</t>
  </si>
  <si>
    <t xml:space="preserve">periacetabular osteotomy</t>
  </si>
  <si>
    <t xml:space="preserve">Only if the surgeon performs PAO (unverified); dysplasia patients travel. National modeled 1000 to 3000.</t>
  </si>
  <si>
    <t xml:space="preserve">hip labral tear</t>
  </si>
  <si>
    <t xml:space="preserve">Condition head term; younger searchers, long research phase. National modeled 15000 to 35000.</t>
  </si>
  <si>
    <t xml:space="preserve">hip impingement</t>
  </si>
  <si>
    <t xml:space="preserve">Condition head term. National modeled 12000 to 30000.</t>
  </si>
  <si>
    <t xml:space="preserve">femoroacetabular impingement</t>
  </si>
  <si>
    <t xml:space="preserve">Clinical term; test. National modeled 3000 to 8000.</t>
  </si>
  <si>
    <t xml:space="preserve">hip labral tear symptoms</t>
  </si>
  <si>
    <t xml:space="preserve">Early research; AI Overviews reduce clicks. National modeled 5000 to 12000.</t>
  </si>
  <si>
    <t xml:space="preserve">acl</t>
  </si>
  <si>
    <t xml:space="preserve">ACL reconstruction</t>
  </si>
  <si>
    <t xml:space="preserve">ACL reconstruction surgeon</t>
  </si>
  <si>
    <t xml:space="preserve">ACL surgeon near me</t>
  </si>
  <si>
    <t xml:space="preserve">Main surgeon-seeking term for the cluster. National modeled 300 to 1000.</t>
  </si>
  <si>
    <t xml:space="preserve">best ACL surgeon</t>
  </si>
  <si>
    <t xml:space="preserve">Includes near me variants; parents of athletes. National modeled 200 to 600.</t>
  </si>
  <si>
    <t xml:space="preserve">ACL surgeon Minneapolis</t>
  </si>
  <si>
    <t xml:space="preserve">sports medicine doctor near me</t>
  </si>
  <si>
    <t xml:space="preserve">Generic sports intent serving ACL, meniscus and rotator cuff; mixed with non-surgical. National modeled 8000 to 20000.</t>
  </si>
  <si>
    <t xml:space="preserve">RFP procedure. National modeled 4000 to 10000.</t>
  </si>
  <si>
    <t xml:space="preserve">ACL surgery</t>
  </si>
  <si>
    <t xml:space="preserve">B14;B59;B60</t>
  </si>
  <si>
    <t xml:space="preserve">Procedure head term; ACL has the highest relative interest among knee ligament terms (B14). National modeled 15000 to 35000.</t>
  </si>
  <si>
    <t xml:space="preserve">torn ACL surgery</t>
  </si>
  <si>
    <t xml:space="preserve">National modeled 1500 to 4000.</t>
  </si>
  <si>
    <t xml:space="preserve">ACL repair</t>
  </si>
  <si>
    <t xml:space="preserve">Patients say repair for reconstruction; keep. National modeled 3000 to 8000.</t>
  </si>
  <si>
    <t xml:space="preserve">ACL tear</t>
  </si>
  <si>
    <t xml:space="preserve">Condition head term; heavy research and sports-news noise. National modeled 40000 to 90000.</t>
  </si>
  <si>
    <t xml:space="preserve">torn ACL</t>
  </si>
  <si>
    <t xml:space="preserve">Condition head term; test only. National modeled 20000 to 50000.</t>
  </si>
  <si>
    <t xml:space="preserve">ACL tear treatment</t>
  </si>
  <si>
    <t xml:space="preserve">Treatment-seeking; better than the bare condition term. National modeled 1500 to 4000.</t>
  </si>
  <si>
    <t xml:space="preserve">meniscus</t>
  </si>
  <si>
    <t xml:space="preserve">meniscus repair</t>
  </si>
  <si>
    <t xml:space="preserve">meniscus surgeon near me</t>
  </si>
  <si>
    <t xml:space="preserve">Main surgeon-seeking term. National modeled 200 to 600.</t>
  </si>
  <si>
    <t xml:space="preserve">meniscus repair surgeon</t>
  </si>
  <si>
    <t xml:space="preserve">RFP procedure plus surgeon. National modeled 50 to 200.</t>
  </si>
  <si>
    <t xml:space="preserve">torn meniscus doctor</t>
  </si>
  <si>
    <t xml:space="preserve">National modeled 100 to 400.</t>
  </si>
  <si>
    <t xml:space="preserve">knee arthroscopy surgeon near me</t>
  </si>
  <si>
    <t xml:space="preserve">Procedure-led surgeon search. National modeled 100 to 400.</t>
  </si>
  <si>
    <t xml:space="preserve">RFP procedure. National modeled 3000 to 8000.</t>
  </si>
  <si>
    <t xml:space="preserve">meniscus surgery</t>
  </si>
  <si>
    <t xml:space="preserve">Procedure head term. National modeled 8000 to 20000.</t>
  </si>
  <si>
    <t xml:space="preserve">torn meniscus surgery</t>
  </si>
  <si>
    <t xml:space="preserve">National modeled 3000 to 8000.</t>
  </si>
  <si>
    <t xml:space="preserve">meniscus tear treatment</t>
  </si>
  <si>
    <t xml:space="preserve">Treatment-seeking; includes non-surgical. National modeled 3000 to 8000.</t>
  </si>
  <si>
    <t xml:space="preserve">knee arthroscopy</t>
  </si>
  <si>
    <t xml:space="preserve">Procedure term shared with other knee scopes. National modeled 5000 to 12000.</t>
  </si>
  <si>
    <t xml:space="preserve">torn meniscus</t>
  </si>
  <si>
    <t xml:space="preserve">Largest condition term in the file; research-heavy; test with tight cap. National modeled 60000 to 140000.</t>
  </si>
  <si>
    <t xml:space="preserve">meniscus tear</t>
  </si>
  <si>
    <t xml:space="preserve">Condition head term; test only. National modeled 40000 to 90000.</t>
  </si>
  <si>
    <t xml:space="preserve">rotator_cuff</t>
  </si>
  <si>
    <t xml:space="preserve">rotator cuff repair</t>
  </si>
  <si>
    <t xml:space="preserve">rotator cuff repair surgeon</t>
  </si>
  <si>
    <t xml:space="preserve">RFP seed. National modeled 50 to 200.</t>
  </si>
  <si>
    <t xml:space="preserve">rotator cuff surgeon near me</t>
  </si>
  <si>
    <t xml:space="preserve">Main surgeon-seeking term. National modeled 300 to 1000.</t>
  </si>
  <si>
    <t xml:space="preserve">shoulder surgeon near me</t>
  </si>
  <si>
    <t xml:space="preserve">Broader shoulder intent (replacement, instability); route by ad copy. National modeled 2000 to 5000.</t>
  </si>
  <si>
    <t xml:space="preserve">rotator cuff specialist</t>
  </si>
  <si>
    <t xml:space="preserve">shoulder surgeon Minneapolis</t>
  </si>
  <si>
    <t xml:space="preserve">rotator cuff surgery</t>
  </si>
  <si>
    <t xml:space="preserve">B13;B59;B60</t>
  </si>
  <si>
    <t xml:space="preserve">Procedure head term; interest rising 2010 to 2024 (B13). National modeled 15000 to 35000.</t>
  </si>
  <si>
    <t xml:space="preserve">RFP procedure. National modeled 5000 to 12000.</t>
  </si>
  <si>
    <t xml:space="preserve">arthroscopic rotator cuff repair</t>
  </si>
  <si>
    <t xml:space="preserve">torn rotator cuff surgery</t>
  </si>
  <si>
    <t xml:space="preserve">rotator cuff tear</t>
  </si>
  <si>
    <t xml:space="preserve">Condition head term; test only. National modeled 30000 to 70000.</t>
  </si>
  <si>
    <t xml:space="preserve">torn rotator cuff</t>
  </si>
  <si>
    <t xml:space="preserve">rotator cuff tear treatment</t>
  </si>
  <si>
    <t xml:space="preserve">Treatment-seeking. National modeled 2000 to 5000.</t>
  </si>
  <si>
    <t xml:space="preserve">rotator cuff surgery recovery</t>
  </si>
  <si>
    <t xml:space="preserve">Judgment call: recovery is the most searched rotator cuff topic (B13) but mostly post-op; negative in Tier 1 and 2. Listed to size it. National modeled 5000 to 12000.</t>
  </si>
  <si>
    <t xml:space="preserve">Tiers: live formulas only, all inputs from the Assumptions tab. Monthly figures. Cost per consult is computed from deployed spend, never typed.</t>
  </si>
  <si>
    <t xml:space="preserve">Low column = low demand, low CPC, low rates (fewest consults, highest cost per consult). High column = the opposite. Deployed spend falls below budget when the demand cap binds.</t>
  </si>
  <si>
    <t xml:space="preserve">Tier</t>
  </si>
  <si>
    <t xml:space="preserve">Case</t>
  </si>
  <si>
    <t xml:space="preserve">Budget $</t>
  </si>
  <si>
    <t xml:space="preserve">Deployed spend $</t>
  </si>
  <si>
    <t xml:space="preserve">Unspent budget $</t>
  </si>
  <si>
    <t xml:space="preserve">Clicks</t>
  </si>
  <si>
    <t xml:space="preserve">Blended CPC $</t>
  </si>
  <si>
    <t xml:space="preserve">Contacts</t>
  </si>
  <si>
    <t xml:space="preserve">Qualified inquiries</t>
  </si>
  <si>
    <t xml:space="preserve">Consults booked</t>
  </si>
  <si>
    <t xml:space="preserve">Consults attended</t>
  </si>
  <si>
    <t xml:space="preserve">Cost per qualified inquiry</t>
  </si>
  <si>
    <t xml:space="preserve">Cost per consult booked</t>
  </si>
  <si>
    <t xml:space="preserve">Cost per consult attended</t>
  </si>
  <si>
    <t xml:space="preserve">Pilot</t>
  </si>
  <si>
    <t xml:space="preserve">Growth</t>
  </si>
  <si>
    <t xml:space="preserve">Full coverage</t>
  </si>
  <si>
    <t xml:space="preserve">Detail by tier, case, and cluster</t>
  </si>
  <si>
    <t xml:space="preserve">Pilot tier, Low case</t>
  </si>
  <si>
    <t xml:space="preserve">Cluster</t>
  </si>
  <si>
    <t xml:space="preserve">Share of spend</t>
  </si>
  <si>
    <t xml:space="preserve">CPC $</t>
  </si>
  <si>
    <t xml:space="preserve">Eligible searches per month</t>
  </si>
  <si>
    <t xml:space="preserve">Click cap (searches x IS x CTR)</t>
  </si>
  <si>
    <t xml:space="preserve">Uncapped clicks (budget / CPC)</t>
  </si>
  <si>
    <t xml:space="preserve">Clicks (min of cap and uncapped)</t>
  </si>
  <si>
    <t xml:space="preserve">Cap binds?</t>
  </si>
  <si>
    <t xml:space="preserve">Hip replacement</t>
  </si>
  <si>
    <t xml:space="preserve">Knee replacement</t>
  </si>
  <si>
    <t xml:space="preserve">Hip preservation</t>
  </si>
  <si>
    <t xml:space="preserve">Meniscus repair</t>
  </si>
  <si>
    <t xml:space="preserve">Rotator cuff repair</t>
  </si>
  <si>
    <t xml:space="preserve">Total</t>
  </si>
  <si>
    <t xml:space="preserve">Pilot tier, Base case</t>
  </si>
  <si>
    <t xml:space="preserve">Pilot tier, High case</t>
  </si>
  <si>
    <t xml:space="preserve">Growth tier, Low case</t>
  </si>
  <si>
    <t xml:space="preserve">Growth tier, Base case</t>
  </si>
  <si>
    <t xml:space="preserve">Growth tier, High case</t>
  </si>
  <si>
    <t xml:space="preserve">Full coverage tier, Low case</t>
  </si>
  <si>
    <t xml:space="preserve">Full coverage tier, Base case</t>
  </si>
  <si>
    <t xml:space="preserve">Full coverage tier, High case</t>
  </si>
  <si>
    <t xml:space="preserve">90-day pilot plan with decision gates (numbers reference the Assumptions and Tiers tabs by formula)</t>
  </si>
  <si>
    <t xml:space="preserve">Practice-reported qualified inquiries and consults (03_measurement_compliance.md) are the steering measures; Google Ads conversions are the bidding signal only (C57).</t>
  </si>
  <si>
    <t xml:space="preserve">Gate or period</t>
  </si>
  <si>
    <t xml:space="preserve">Timing</t>
  </si>
  <si>
    <t xml:space="preserve">What happens</t>
  </si>
  <si>
    <t xml:space="preserve">Owner</t>
  </si>
  <si>
    <t xml:space="preserve">Decision rule</t>
  </si>
  <si>
    <t xml:space="preserve">Threshold or figure</t>
  </si>
  <si>
    <t xml:space="preserve">Source or ID</t>
  </si>
  <si>
    <t xml:space="preserve">Pre-launch</t>
  </si>
  <si>
    <t xml:space="preserve">Days -14 to 0</t>
  </si>
  <si>
    <t xml:space="preserve">Practice confirms intake phone hours (placeholder Monday to Friday, 8 am to 5 pm Central), the navigation and robotic systems and facilities (O12), and whether TCO marketing must approve. Vendor BAAs signed (call tracking, forms); DNI number and form event built; landing pages live; negative list loaded; campaigns built but paused.</t>
  </si>
  <si>
    <t xml:space="preserve">Humanus, practice</t>
  </si>
  <si>
    <t xml:space="preserve">Launch only when tracking test calls and forms appear in the vendor dashboard.</t>
  </si>
  <si>
    <t xml:space="preserve">C42 to C48; C51; O12</t>
  </si>
  <si>
    <t xml:space="preserve">Launch</t>
  </si>
  <si>
    <t xml:space="preserve">Day 1</t>
  </si>
  <si>
    <t xml:space="preserve">Pilot goes live: hip replacement, knee replacement, hip preservation campaigns. Monthly cap:</t>
  </si>
  <si>
    <t xml:space="preserve">Humanus</t>
  </si>
  <si>
    <t xml:space="preserve">Daily budget = monthly cap / days per month.</t>
  </si>
  <si>
    <t xml:space="preserve">Daily budget across the three campaigns.</t>
  </si>
  <si>
    <t xml:space="preserve">Set per campaign in proportion to the allocation shares.</t>
  </si>
  <si>
    <t xml:space="preserve">dollars per day</t>
  </si>
  <si>
    <t xml:space="preserve">D60; D62</t>
  </si>
  <si>
    <t xml:space="preserve">Days 1 to 30</t>
  </si>
  <si>
    <t xml:space="preserve">Bidding: Maximize clicks with a maximum CPC bid limit while conversion tracking accrues data.</t>
  </si>
  <si>
    <t xml:space="preserve">Bid limit = high-case Pilot hip replacement CPC.</t>
  </si>
  <si>
    <t xml:space="preserve">B60; D64; C16</t>
  </si>
  <si>
    <t xml:space="preserve">Gate 1: tracking verified</t>
  </si>
  <si>
    <t xml:space="preserve">Day 14</t>
  </si>
  <si>
    <t xml:space="preserve">Test and live calls of 60 seconds or more and form submissions appear in the vendor log and in Google Ads as primary conversions; call reporting off; no PHI in any tag.</t>
  </si>
  <si>
    <t xml:space="preserve">Humanus, practice compliance</t>
  </si>
  <si>
    <t xml:space="preserve">If any check fails, pause until fixed.</t>
  </si>
  <si>
    <t xml:space="preserve">C13; C17 to C20; C51</t>
  </si>
  <si>
    <t xml:space="preserve">Gate 2: search terms and lead quality</t>
  </si>
  <si>
    <t xml:space="preserve">Day 30</t>
  </si>
  <si>
    <t xml:space="preserve">Search term report reviewed; negatives added; NQ-code tally from intake reviewed (counts only). Compare recorded contacts with the modeled range.</t>
  </si>
  <si>
    <t xml:space="preserve">Humanus, practice intake</t>
  </si>
  <si>
    <t xml:space="preserve">Contacts in month one, modeled low case.</t>
  </si>
  <si>
    <t xml:space="preserve">contacts per month</t>
  </si>
  <si>
    <t xml:space="preserve">Tiers</t>
  </si>
  <si>
    <t xml:space="preserve">Same review.</t>
  </si>
  <si>
    <t xml:space="preserve">Contacts in month one, modeled base case.</t>
  </si>
  <si>
    <t xml:space="preserve">Contacts in month one, modeled high case.</t>
  </si>
  <si>
    <t xml:space="preserve">Lead quality: qualified inquiries as a share of contacts, from the NQ-code tally.</t>
  </si>
  <si>
    <t xml:space="preserve">Practice intake</t>
  </si>
  <si>
    <t xml:space="preserve">Below the low-case rate for the month: tighten match types and negatives before any budget change.</t>
  </si>
  <si>
    <t xml:space="preserve">share of contacts</t>
  </si>
  <si>
    <t xml:space="preserve">D57</t>
  </si>
  <si>
    <t xml:space="preserve">Gate 2: demand check</t>
  </si>
  <si>
    <t xml:space="preserve">Search impression share, lost to budget, and lost to rank read from Google Ads for each campaign.</t>
  </si>
  <si>
    <t xml:space="preserve">Lost to rank above lost to budget means the demand cap is real: hold the cap. Lost to budget above 20% means demand exceeds the model: raise the cap in $500 steps at day 60.</t>
  </si>
  <si>
    <t xml:space="preserve">modeled achievable impression share</t>
  </si>
  <si>
    <t xml:space="preserve">Bidding switch</t>
  </si>
  <si>
    <t xml:space="preserve">Day 30 to 45</t>
  </si>
  <si>
    <t xml:space="preserve">Switch to Maximize conversions (no target) once verified primary conversions in the last 30 days reach the floor.</t>
  </si>
  <si>
    <t xml:space="preserve">Minimum primary conversions in 30 days.</t>
  </si>
  <si>
    <t xml:space="preserve">Gate 3: phase-in and bidding</t>
  </si>
  <si>
    <t xml:space="preserve">Day 60</t>
  </si>
  <si>
    <t xml:space="preserve">Decide whether the sports medicine campaign (ACL, meniscus, rotator cuff) starts. Start it if the launch campaigns are demand-bound (lost to budget under 10%) and cost per qualified inquiry is at or below the base case; otherwise hold to day 90.</t>
  </si>
  <si>
    <t xml:space="preserve">Sports medicine monthly budget at the Growth tier.</t>
  </si>
  <si>
    <t xml:space="preserve">Target CPA only if the conversion floor is met for the trailing 30 days; otherwise stay on Maximize conversions.</t>
  </si>
  <si>
    <t xml:space="preserve">Gate 4: scale, hold, or cut</t>
  </si>
  <si>
    <t xml:space="preserve">Day 60 to 90</t>
  </si>
  <si>
    <t xml:space="preserve">Practice-reported cost per qualified inquiry (deployed spend / qualified inquiries, two-month average).</t>
  </si>
  <si>
    <t xml:space="preserve">Scale: at or below the base-case figure and lost to budget above 10%. Move to the Growth tier.</t>
  </si>
  <si>
    <t xml:space="preserve">dollars per qualified inquiry</t>
  </si>
  <si>
    <t xml:space="preserve">Same measure.</t>
  </si>
  <si>
    <t xml:space="preserve">Hold: between the base-case and low-case figures. Keep the Pilot cap, fix intake, pages, and terms.</t>
  </si>
  <si>
    <t xml:space="preserve">Cut: above the low-case figure for two consecutive months. Reduce the cap to the deployed spend of the best cluster, or pause the weakest campaign.</t>
  </si>
  <si>
    <t xml:space="preserve">Practice-reported cost per consult attended (deployed spend / consults attended, two-month average).</t>
  </si>
  <si>
    <t xml:space="preserve">Scale threshold: base case.</t>
  </si>
  <si>
    <t xml:space="preserve">dollars per consult</t>
  </si>
  <si>
    <t xml:space="preserve">Cut threshold: low case (two consecutive months above it).</t>
  </si>
  <si>
    <t xml:space="preserve">Day 90</t>
  </si>
  <si>
    <t xml:space="preserve">If scaling, the next monthly cap is the Growth tier.</t>
  </si>
  <si>
    <t xml:space="preserve">Practice decides</t>
  </si>
  <si>
    <t xml:space="preserve">Growth tier monthly ad spend.</t>
  </si>
  <si>
    <t xml:space="preserve">Growth tier base-case consults attended per month, for comparison.</t>
  </si>
  <si>
    <t xml:space="preserve">Modeled, not promised.</t>
  </si>
  <si>
    <t xml:space="preserve">consults per month</t>
  </si>
  <si>
    <t xml:space="preserve">90-day totals</t>
  </si>
  <si>
    <t xml:space="preserve">Days 1 to 90</t>
  </si>
  <si>
    <t xml:space="preserve">Pilot spend cap over the pilot.</t>
  </si>
  <si>
    <t xml:space="preserve">Monthly cap x months.</t>
  </si>
  <si>
    <t xml:space="preserve">dollars</t>
  </si>
  <si>
    <t xml:space="preserve">Deployed spend over the pilot, low case (demand-bound).</t>
  </si>
  <si>
    <t xml:space="preserve">Monthly deployed x months.</t>
  </si>
  <si>
    <t xml:space="preserve">Deployed spend over the pilot, base case.</t>
  </si>
  <si>
    <t xml:space="preserve">Deployed spend over the pilot, high case.</t>
  </si>
  <si>
    <t xml:space="preserve">Qualified inquiries over the pilot, low / base / high.</t>
  </si>
  <si>
    <t xml:space="preserve">Practice reports</t>
  </si>
  <si>
    <t xml:space="preserve">Monthly x months.</t>
  </si>
  <si>
    <t xml:space="preserve">qualified inquiries (low)</t>
  </si>
  <si>
    <t xml:space="preserve">Same.</t>
  </si>
  <si>
    <t xml:space="preserve">qualified inquiries (base)</t>
  </si>
  <si>
    <t xml:space="preserve">qualified inquiries (high)</t>
  </si>
  <si>
    <t xml:space="preserve">Consults attended over the pilot, low / base / high.</t>
  </si>
  <si>
    <t xml:space="preserve">consults attended (low)</t>
  </si>
  <si>
    <t xml:space="preserve">consults attended (base)</t>
  </si>
  <si>
    <t xml:space="preserve">consults attended (high)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</si>
</sst>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.0%"/>
    <numFmt numFmtId="168" formatCode="\$#,##0.00"/>
    <numFmt numFmtId="169" formatCode="\$#,##0"/>
    <numFmt numFmtId="170" formatCode="#,##0.0"/>
    <numFmt numFmtId="171" formatCode="\$#,##0;&quot;($&quot;#,##0\);&quot;n/a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6" min="4" style="1" width="12"/>
    <col collapsed="false" customWidth="true" hidden="false" outlineLevel="0" max="7" min="7" style="1" width="9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/>
      <c r="C6" s="6"/>
      <c r="D6" s="6"/>
      <c r="E6" s="6"/>
      <c r="F6" s="6"/>
      <c r="G6" s="6"/>
    </row>
    <row r="7" customFormat="false" ht="23.85" hidden="false" customHeight="false" outlineLevel="0" collapsed="false">
      <c r="A7" s="7" t="s">
        <v>11</v>
      </c>
      <c r="B7" s="7" t="s">
        <v>12</v>
      </c>
      <c r="C7" s="7" t="s">
        <v>13</v>
      </c>
      <c r="D7" s="8" t="n">
        <v>800</v>
      </c>
      <c r="E7" s="8" t="n">
        <v>1400</v>
      </c>
      <c r="F7" s="8" t="n">
        <v>2500</v>
      </c>
      <c r="G7" s="9" t="s">
        <v>14</v>
      </c>
    </row>
    <row r="8" customFormat="false" ht="23.85" hidden="false" customHeight="false" outlineLevel="0" collapsed="false">
      <c r="A8" s="7" t="s">
        <v>15</v>
      </c>
      <c r="B8" s="7" t="s">
        <v>12</v>
      </c>
      <c r="C8" s="7" t="s">
        <v>13</v>
      </c>
      <c r="D8" s="8" t="n">
        <v>1000</v>
      </c>
      <c r="E8" s="8" t="n">
        <v>1800</v>
      </c>
      <c r="F8" s="8" t="n">
        <v>3300</v>
      </c>
      <c r="G8" s="9" t="s">
        <v>14</v>
      </c>
    </row>
    <row r="9" customFormat="false" ht="23.85" hidden="false" customHeight="false" outlineLevel="0" collapsed="false">
      <c r="A9" s="7" t="s">
        <v>16</v>
      </c>
      <c r="B9" s="7" t="s">
        <v>17</v>
      </c>
      <c r="C9" s="7" t="s">
        <v>13</v>
      </c>
      <c r="D9" s="8" t="n">
        <v>120</v>
      </c>
      <c r="E9" s="8" t="n">
        <v>270</v>
      </c>
      <c r="F9" s="8" t="n">
        <v>590</v>
      </c>
      <c r="G9" s="9" t="s">
        <v>14</v>
      </c>
    </row>
    <row r="10" customFormat="false" ht="23.85" hidden="false" customHeight="false" outlineLevel="0" collapsed="false">
      <c r="A10" s="7" t="s">
        <v>18</v>
      </c>
      <c r="B10" s="7" t="s">
        <v>12</v>
      </c>
      <c r="C10" s="7" t="s">
        <v>13</v>
      </c>
      <c r="D10" s="8" t="n">
        <v>350</v>
      </c>
      <c r="E10" s="8" t="n">
        <v>620</v>
      </c>
      <c r="F10" s="8" t="n">
        <v>1100</v>
      </c>
      <c r="G10" s="9" t="s">
        <v>14</v>
      </c>
    </row>
    <row r="11" customFormat="false" ht="23.85" hidden="false" customHeight="false" outlineLevel="0" collapsed="false">
      <c r="A11" s="7" t="s">
        <v>19</v>
      </c>
      <c r="B11" s="7" t="s">
        <v>12</v>
      </c>
      <c r="C11" s="7" t="s">
        <v>13</v>
      </c>
      <c r="D11" s="8" t="n">
        <v>250</v>
      </c>
      <c r="E11" s="8" t="n">
        <v>450</v>
      </c>
      <c r="F11" s="8" t="n">
        <v>800</v>
      </c>
      <c r="G11" s="9" t="s">
        <v>14</v>
      </c>
    </row>
    <row r="12" customFormat="false" ht="23.85" hidden="false" customHeight="false" outlineLevel="0" collapsed="false">
      <c r="A12" s="7" t="s">
        <v>20</v>
      </c>
      <c r="B12" s="7" t="s">
        <v>12</v>
      </c>
      <c r="C12" s="7" t="s">
        <v>13</v>
      </c>
      <c r="D12" s="8" t="n">
        <v>270</v>
      </c>
      <c r="E12" s="8" t="n">
        <v>490</v>
      </c>
      <c r="F12" s="8" t="n">
        <v>880</v>
      </c>
      <c r="G12" s="9" t="s">
        <v>14</v>
      </c>
    </row>
    <row r="13" customFormat="false" ht="15" hidden="false" customHeight="false" outlineLevel="0" collapsed="false">
      <c r="A13" s="5" t="s">
        <v>21</v>
      </c>
      <c r="B13" s="6"/>
      <c r="C13" s="6"/>
      <c r="D13" s="6"/>
      <c r="E13" s="6"/>
      <c r="F13" s="6"/>
      <c r="G13" s="6"/>
    </row>
    <row r="14" customFormat="false" ht="23.85" hidden="false" customHeight="false" outlineLevel="0" collapsed="false">
      <c r="A14" s="7" t="s">
        <v>22</v>
      </c>
      <c r="B14" s="7" t="s">
        <v>23</v>
      </c>
      <c r="C14" s="7" t="s">
        <v>13</v>
      </c>
      <c r="D14" s="8" t="n">
        <v>220</v>
      </c>
      <c r="E14" s="8" t="n">
        <v>390</v>
      </c>
      <c r="F14" s="8" t="n">
        <v>690</v>
      </c>
      <c r="G14" s="9" t="s">
        <v>24</v>
      </c>
    </row>
    <row r="15" customFormat="false" ht="23.85" hidden="false" customHeight="false" outlineLevel="0" collapsed="false">
      <c r="A15" s="7" t="s">
        <v>25</v>
      </c>
      <c r="B15" s="7" t="s">
        <v>23</v>
      </c>
      <c r="C15" s="7" t="s">
        <v>13</v>
      </c>
      <c r="D15" s="8" t="n">
        <v>380</v>
      </c>
      <c r="E15" s="8" t="n">
        <v>680</v>
      </c>
      <c r="F15" s="8" t="n">
        <v>1200</v>
      </c>
      <c r="G15" s="9" t="s">
        <v>24</v>
      </c>
    </row>
    <row r="16" customFormat="false" ht="23.85" hidden="false" customHeight="false" outlineLevel="0" collapsed="false">
      <c r="A16" s="7" t="s">
        <v>26</v>
      </c>
      <c r="B16" s="7" t="s">
        <v>23</v>
      </c>
      <c r="C16" s="7" t="s">
        <v>13</v>
      </c>
      <c r="D16" s="8" t="n">
        <v>380</v>
      </c>
      <c r="E16" s="8" t="n">
        <v>800</v>
      </c>
      <c r="F16" s="8" t="n">
        <v>1700</v>
      </c>
      <c r="G16" s="9" t="s">
        <v>24</v>
      </c>
    </row>
    <row r="17" customFormat="false" ht="23.85" hidden="false" customHeight="false" outlineLevel="0" collapsed="false">
      <c r="A17" s="7" t="s">
        <v>27</v>
      </c>
      <c r="B17" s="7" t="s">
        <v>23</v>
      </c>
      <c r="C17" s="7" t="s">
        <v>13</v>
      </c>
      <c r="D17" s="8" t="n">
        <v>680</v>
      </c>
      <c r="E17" s="8" t="n">
        <v>1200</v>
      </c>
      <c r="F17" s="8" t="n">
        <v>2100</v>
      </c>
      <c r="G17" s="9" t="s">
        <v>24</v>
      </c>
    </row>
    <row r="18" customFormat="false" ht="23.85" hidden="false" customHeight="false" outlineLevel="0" collapsed="false">
      <c r="A18" s="7" t="s">
        <v>28</v>
      </c>
      <c r="B18" s="7" t="s">
        <v>23</v>
      </c>
      <c r="C18" s="7" t="s">
        <v>13</v>
      </c>
      <c r="D18" s="8" t="n">
        <v>1100</v>
      </c>
      <c r="E18" s="8" t="n">
        <v>1900</v>
      </c>
      <c r="F18" s="8" t="n">
        <v>3300</v>
      </c>
      <c r="G18" s="9" t="s">
        <v>24</v>
      </c>
    </row>
    <row r="19" customFormat="false" ht="23.85" hidden="false" customHeight="false" outlineLevel="0" collapsed="false">
      <c r="A19" s="7" t="s">
        <v>29</v>
      </c>
      <c r="B19" s="7" t="s">
        <v>23</v>
      </c>
      <c r="C19" s="7" t="s">
        <v>13</v>
      </c>
      <c r="D19" s="8" t="n">
        <v>630</v>
      </c>
      <c r="E19" s="8" t="n">
        <v>1100</v>
      </c>
      <c r="F19" s="8" t="n">
        <v>1900</v>
      </c>
      <c r="G19" s="9" t="s">
        <v>24</v>
      </c>
    </row>
    <row r="20" customFormat="false" ht="15" hidden="false" customHeight="false" outlineLevel="0" collapsed="false">
      <c r="A20" s="5" t="s">
        <v>30</v>
      </c>
      <c r="B20" s="6"/>
      <c r="C20" s="6"/>
      <c r="D20" s="6"/>
      <c r="E20" s="6"/>
      <c r="F20" s="6"/>
      <c r="G20" s="6"/>
    </row>
    <row r="21" customFormat="false" ht="23.85" hidden="false" customHeight="false" outlineLevel="0" collapsed="false">
      <c r="A21" s="7" t="s">
        <v>31</v>
      </c>
      <c r="B21" s="7" t="s">
        <v>32</v>
      </c>
      <c r="C21" s="7" t="s">
        <v>33</v>
      </c>
      <c r="D21" s="10" t="n">
        <v>1</v>
      </c>
      <c r="E21" s="10" t="n">
        <v>1.25</v>
      </c>
      <c r="F21" s="10" t="n">
        <v>1.5</v>
      </c>
      <c r="G21" s="9" t="s">
        <v>34</v>
      </c>
    </row>
    <row r="22" customFormat="false" ht="23.85" hidden="false" customHeight="false" outlineLevel="0" collapsed="false">
      <c r="A22" s="7" t="s">
        <v>35</v>
      </c>
      <c r="B22" s="7" t="s">
        <v>36</v>
      </c>
      <c r="C22" s="7" t="s">
        <v>37</v>
      </c>
      <c r="D22" s="11" t="n">
        <v>0.4</v>
      </c>
      <c r="E22" s="11" t="n">
        <v>0.6</v>
      </c>
      <c r="F22" s="11" t="n">
        <v>0.75</v>
      </c>
      <c r="G22" s="9" t="s">
        <v>38</v>
      </c>
    </row>
    <row r="23" customFormat="false" ht="15" hidden="false" customHeight="false" outlineLevel="0" collapsed="false">
      <c r="A23" s="5" t="s">
        <v>39</v>
      </c>
      <c r="B23" s="6"/>
      <c r="C23" s="6"/>
      <c r="D23" s="6"/>
      <c r="E23" s="6"/>
      <c r="F23" s="6"/>
      <c r="G23" s="6"/>
    </row>
    <row r="24" customFormat="false" ht="23.85" hidden="false" customHeight="false" outlineLevel="0" collapsed="false">
      <c r="A24" s="7" t="s">
        <v>40</v>
      </c>
      <c r="B24" s="7" t="s">
        <v>41</v>
      </c>
      <c r="C24" s="7" t="s">
        <v>42</v>
      </c>
      <c r="D24" s="11" t="n">
        <v>0.06</v>
      </c>
      <c r="E24" s="11" t="n">
        <v>0.08</v>
      </c>
      <c r="F24" s="11" t="n">
        <v>0.11</v>
      </c>
      <c r="G24" s="9" t="s">
        <v>43</v>
      </c>
    </row>
    <row r="25" customFormat="false" ht="23.85" hidden="false" customHeight="false" outlineLevel="0" collapsed="false">
      <c r="A25" s="7" t="s">
        <v>44</v>
      </c>
      <c r="B25" s="7" t="s">
        <v>41</v>
      </c>
      <c r="C25" s="7" t="s">
        <v>42</v>
      </c>
      <c r="D25" s="11" t="n">
        <v>0.055</v>
      </c>
      <c r="E25" s="11" t="n">
        <v>0.075</v>
      </c>
      <c r="F25" s="11" t="n">
        <v>0.1</v>
      </c>
      <c r="G25" s="9" t="s">
        <v>43</v>
      </c>
    </row>
    <row r="26" customFormat="false" ht="23.85" hidden="false" customHeight="false" outlineLevel="0" collapsed="false">
      <c r="A26" s="7" t="s">
        <v>45</v>
      </c>
      <c r="B26" s="7" t="s">
        <v>41</v>
      </c>
      <c r="C26" s="7" t="s">
        <v>42</v>
      </c>
      <c r="D26" s="11" t="n">
        <v>0.05</v>
      </c>
      <c r="E26" s="11" t="n">
        <v>0.07</v>
      </c>
      <c r="F26" s="11" t="n">
        <v>0.09</v>
      </c>
      <c r="G26" s="9" t="s">
        <v>43</v>
      </c>
    </row>
    <row r="27" customFormat="false" ht="15" hidden="false" customHeight="false" outlineLevel="0" collapsed="false">
      <c r="A27" s="5" t="s">
        <v>46</v>
      </c>
      <c r="B27" s="6"/>
      <c r="C27" s="6"/>
      <c r="D27" s="6"/>
      <c r="E27" s="6"/>
      <c r="F27" s="6"/>
      <c r="G27" s="6"/>
    </row>
    <row r="28" customFormat="false" ht="23.85" hidden="false" customHeight="false" outlineLevel="0" collapsed="false">
      <c r="A28" s="7" t="s">
        <v>47</v>
      </c>
      <c r="B28" s="7" t="s">
        <v>48</v>
      </c>
      <c r="C28" s="7" t="s">
        <v>49</v>
      </c>
      <c r="D28" s="11" t="n">
        <v>0</v>
      </c>
      <c r="E28" s="11" t="n">
        <v>0</v>
      </c>
      <c r="F28" s="11" t="n">
        <v>0</v>
      </c>
      <c r="G28" s="9" t="s">
        <v>50</v>
      </c>
    </row>
    <row r="29" customFormat="false" ht="23.85" hidden="false" customHeight="false" outlineLevel="0" collapsed="false">
      <c r="A29" s="7" t="s">
        <v>51</v>
      </c>
      <c r="B29" s="7" t="s">
        <v>48</v>
      </c>
      <c r="C29" s="7" t="s">
        <v>49</v>
      </c>
      <c r="D29" s="11" t="n">
        <v>0.2</v>
      </c>
      <c r="E29" s="11" t="n">
        <v>0.2</v>
      </c>
      <c r="F29" s="11" t="n">
        <v>0.2</v>
      </c>
      <c r="G29" s="9" t="s">
        <v>50</v>
      </c>
    </row>
    <row r="30" customFormat="false" ht="23.85" hidden="false" customHeight="false" outlineLevel="0" collapsed="false">
      <c r="A30" s="7" t="s">
        <v>52</v>
      </c>
      <c r="B30" s="7" t="s">
        <v>48</v>
      </c>
      <c r="C30" s="7" t="s">
        <v>49</v>
      </c>
      <c r="D30" s="11" t="n">
        <v>0.35</v>
      </c>
      <c r="E30" s="11" t="n">
        <v>0.35</v>
      </c>
      <c r="F30" s="11" t="n">
        <v>0.35</v>
      </c>
      <c r="G30" s="9" t="s">
        <v>50</v>
      </c>
    </row>
    <row r="31" customFormat="false" ht="15" hidden="false" customHeight="false" outlineLevel="0" collapsed="false">
      <c r="A31" s="5" t="s">
        <v>53</v>
      </c>
      <c r="B31" s="6"/>
      <c r="C31" s="6"/>
      <c r="D31" s="6"/>
      <c r="E31" s="6"/>
      <c r="F31" s="6"/>
      <c r="G31" s="6"/>
    </row>
    <row r="32" customFormat="false" ht="35.05" hidden="false" customHeight="false" outlineLevel="0" collapsed="false">
      <c r="A32" s="7" t="s">
        <v>54</v>
      </c>
      <c r="B32" s="7" t="s">
        <v>55</v>
      </c>
      <c r="C32" s="7" t="s">
        <v>56</v>
      </c>
      <c r="D32" s="12" t="n">
        <v>7</v>
      </c>
      <c r="E32" s="12" t="n">
        <v>10</v>
      </c>
      <c r="F32" s="12" t="n">
        <v>16</v>
      </c>
      <c r="G32" s="9" t="s">
        <v>57</v>
      </c>
    </row>
    <row r="33" customFormat="false" ht="35.05" hidden="false" customHeight="false" outlineLevel="0" collapsed="false">
      <c r="A33" s="7" t="s">
        <v>58</v>
      </c>
      <c r="B33" s="7" t="s">
        <v>55</v>
      </c>
      <c r="C33" s="7" t="s">
        <v>56</v>
      </c>
      <c r="D33" s="12" t="n">
        <v>7</v>
      </c>
      <c r="E33" s="12" t="n">
        <v>10</v>
      </c>
      <c r="F33" s="12" t="n">
        <v>16</v>
      </c>
      <c r="G33" s="9" t="s">
        <v>57</v>
      </c>
    </row>
    <row r="34" customFormat="false" ht="35.05" hidden="false" customHeight="false" outlineLevel="0" collapsed="false">
      <c r="A34" s="7" t="s">
        <v>59</v>
      </c>
      <c r="B34" s="7" t="s">
        <v>55</v>
      </c>
      <c r="C34" s="7" t="s">
        <v>56</v>
      </c>
      <c r="D34" s="12" t="n">
        <v>5</v>
      </c>
      <c r="E34" s="12" t="n">
        <v>8</v>
      </c>
      <c r="F34" s="12" t="n">
        <v>13</v>
      </c>
      <c r="G34" s="9" t="s">
        <v>57</v>
      </c>
    </row>
    <row r="35" customFormat="false" ht="35.05" hidden="false" customHeight="false" outlineLevel="0" collapsed="false">
      <c r="A35" s="7" t="s">
        <v>60</v>
      </c>
      <c r="B35" s="7" t="s">
        <v>55</v>
      </c>
      <c r="C35" s="7" t="s">
        <v>56</v>
      </c>
      <c r="D35" s="12" t="n">
        <v>5</v>
      </c>
      <c r="E35" s="12" t="n">
        <v>8</v>
      </c>
      <c r="F35" s="12" t="n">
        <v>13</v>
      </c>
      <c r="G35" s="9" t="s">
        <v>57</v>
      </c>
    </row>
    <row r="36" customFormat="false" ht="35.05" hidden="false" customHeight="false" outlineLevel="0" collapsed="false">
      <c r="A36" s="7" t="s">
        <v>61</v>
      </c>
      <c r="B36" s="7" t="s">
        <v>55</v>
      </c>
      <c r="C36" s="7" t="s">
        <v>56</v>
      </c>
      <c r="D36" s="12" t="n">
        <v>4</v>
      </c>
      <c r="E36" s="12" t="n">
        <v>7</v>
      </c>
      <c r="F36" s="12" t="n">
        <v>12</v>
      </c>
      <c r="G36" s="9" t="s">
        <v>57</v>
      </c>
    </row>
    <row r="37" customFormat="false" ht="35.05" hidden="false" customHeight="false" outlineLevel="0" collapsed="false">
      <c r="A37" s="7" t="s">
        <v>62</v>
      </c>
      <c r="B37" s="7" t="s">
        <v>55</v>
      </c>
      <c r="C37" s="7" t="s">
        <v>56</v>
      </c>
      <c r="D37" s="12" t="n">
        <v>5</v>
      </c>
      <c r="E37" s="12" t="n">
        <v>8</v>
      </c>
      <c r="F37" s="12" t="n">
        <v>13</v>
      </c>
      <c r="G37" s="9" t="s">
        <v>57</v>
      </c>
    </row>
    <row r="38" customFormat="false" ht="23.85" hidden="false" customHeight="false" outlineLevel="0" collapsed="false">
      <c r="A38" s="7" t="s">
        <v>63</v>
      </c>
      <c r="B38" s="7" t="s">
        <v>55</v>
      </c>
      <c r="C38" s="7" t="s">
        <v>56</v>
      </c>
      <c r="D38" s="12" t="n">
        <v>7.7</v>
      </c>
      <c r="E38" s="12" t="n">
        <v>11</v>
      </c>
      <c r="F38" s="12" t="n">
        <v>17.6</v>
      </c>
      <c r="G38" s="9" t="s">
        <v>64</v>
      </c>
    </row>
    <row r="39" customFormat="false" ht="23.85" hidden="false" customHeight="false" outlineLevel="0" collapsed="false">
      <c r="A39" s="7" t="s">
        <v>65</v>
      </c>
      <c r="B39" s="7" t="s">
        <v>55</v>
      </c>
      <c r="C39" s="7" t="s">
        <v>56</v>
      </c>
      <c r="D39" s="12" t="n">
        <v>7.7</v>
      </c>
      <c r="E39" s="12" t="n">
        <v>11</v>
      </c>
      <c r="F39" s="12" t="n">
        <v>17.6</v>
      </c>
      <c r="G39" s="9" t="s">
        <v>64</v>
      </c>
    </row>
    <row r="40" customFormat="false" ht="23.85" hidden="false" customHeight="false" outlineLevel="0" collapsed="false">
      <c r="A40" s="7" t="s">
        <v>66</v>
      </c>
      <c r="B40" s="7" t="s">
        <v>55</v>
      </c>
      <c r="C40" s="7" t="s">
        <v>56</v>
      </c>
      <c r="D40" s="12" t="n">
        <v>5.5</v>
      </c>
      <c r="E40" s="12" t="n">
        <v>8.8</v>
      </c>
      <c r="F40" s="12" t="n">
        <v>14.3</v>
      </c>
      <c r="G40" s="9" t="s">
        <v>64</v>
      </c>
    </row>
    <row r="41" customFormat="false" ht="23.85" hidden="false" customHeight="false" outlineLevel="0" collapsed="false">
      <c r="A41" s="7" t="s">
        <v>67</v>
      </c>
      <c r="B41" s="7" t="s">
        <v>55</v>
      </c>
      <c r="C41" s="7" t="s">
        <v>56</v>
      </c>
      <c r="D41" s="12" t="n">
        <v>5.5</v>
      </c>
      <c r="E41" s="12" t="n">
        <v>8.8</v>
      </c>
      <c r="F41" s="12" t="n">
        <v>14.3</v>
      </c>
      <c r="G41" s="9" t="s">
        <v>64</v>
      </c>
    </row>
    <row r="42" customFormat="false" ht="23.85" hidden="false" customHeight="false" outlineLevel="0" collapsed="false">
      <c r="A42" s="7" t="s">
        <v>68</v>
      </c>
      <c r="B42" s="7" t="s">
        <v>55</v>
      </c>
      <c r="C42" s="7" t="s">
        <v>56</v>
      </c>
      <c r="D42" s="12" t="n">
        <v>4.4</v>
      </c>
      <c r="E42" s="12" t="n">
        <v>7.7</v>
      </c>
      <c r="F42" s="12" t="n">
        <v>13.2</v>
      </c>
      <c r="G42" s="9" t="s">
        <v>64</v>
      </c>
    </row>
    <row r="43" customFormat="false" ht="23.85" hidden="false" customHeight="false" outlineLevel="0" collapsed="false">
      <c r="A43" s="7" t="s">
        <v>69</v>
      </c>
      <c r="B43" s="7" t="s">
        <v>55</v>
      </c>
      <c r="C43" s="7" t="s">
        <v>56</v>
      </c>
      <c r="D43" s="12" t="n">
        <v>5.5</v>
      </c>
      <c r="E43" s="12" t="n">
        <v>8.8</v>
      </c>
      <c r="F43" s="12" t="n">
        <v>14.3</v>
      </c>
      <c r="G43" s="9" t="s">
        <v>64</v>
      </c>
    </row>
    <row r="44" customFormat="false" ht="23.85" hidden="false" customHeight="false" outlineLevel="0" collapsed="false">
      <c r="A44" s="7" t="s">
        <v>70</v>
      </c>
      <c r="B44" s="7" t="s">
        <v>55</v>
      </c>
      <c r="C44" s="7" t="s">
        <v>56</v>
      </c>
      <c r="D44" s="12" t="n">
        <v>8.4</v>
      </c>
      <c r="E44" s="12" t="n">
        <v>12</v>
      </c>
      <c r="F44" s="12" t="n">
        <v>19.2</v>
      </c>
      <c r="G44" s="9" t="s">
        <v>71</v>
      </c>
    </row>
    <row r="45" customFormat="false" ht="23.85" hidden="false" customHeight="false" outlineLevel="0" collapsed="false">
      <c r="A45" s="7" t="s">
        <v>72</v>
      </c>
      <c r="B45" s="7" t="s">
        <v>55</v>
      </c>
      <c r="C45" s="7" t="s">
        <v>56</v>
      </c>
      <c r="D45" s="12" t="n">
        <v>8.4</v>
      </c>
      <c r="E45" s="12" t="n">
        <v>12</v>
      </c>
      <c r="F45" s="12" t="n">
        <v>19.2</v>
      </c>
      <c r="G45" s="9" t="s">
        <v>71</v>
      </c>
    </row>
    <row r="46" customFormat="false" ht="23.85" hidden="false" customHeight="false" outlineLevel="0" collapsed="false">
      <c r="A46" s="7" t="s">
        <v>73</v>
      </c>
      <c r="B46" s="7" t="s">
        <v>55</v>
      </c>
      <c r="C46" s="7" t="s">
        <v>56</v>
      </c>
      <c r="D46" s="12" t="n">
        <v>6</v>
      </c>
      <c r="E46" s="12" t="n">
        <v>9.6</v>
      </c>
      <c r="F46" s="12" t="n">
        <v>15.6</v>
      </c>
      <c r="G46" s="9" t="s">
        <v>71</v>
      </c>
    </row>
    <row r="47" customFormat="false" ht="23.85" hidden="false" customHeight="false" outlineLevel="0" collapsed="false">
      <c r="A47" s="7" t="s">
        <v>74</v>
      </c>
      <c r="B47" s="7" t="s">
        <v>55</v>
      </c>
      <c r="C47" s="7" t="s">
        <v>56</v>
      </c>
      <c r="D47" s="12" t="n">
        <v>6</v>
      </c>
      <c r="E47" s="12" t="n">
        <v>9.6</v>
      </c>
      <c r="F47" s="12" t="n">
        <v>15.6</v>
      </c>
      <c r="G47" s="9" t="s">
        <v>71</v>
      </c>
    </row>
    <row r="48" customFormat="false" ht="23.85" hidden="false" customHeight="false" outlineLevel="0" collapsed="false">
      <c r="A48" s="7" t="s">
        <v>75</v>
      </c>
      <c r="B48" s="7" t="s">
        <v>55</v>
      </c>
      <c r="C48" s="7" t="s">
        <v>56</v>
      </c>
      <c r="D48" s="12" t="n">
        <v>4.8</v>
      </c>
      <c r="E48" s="12" t="n">
        <v>8.4</v>
      </c>
      <c r="F48" s="12" t="n">
        <v>14.4</v>
      </c>
      <c r="G48" s="9" t="s">
        <v>71</v>
      </c>
    </row>
    <row r="49" customFormat="false" ht="23.85" hidden="false" customHeight="false" outlineLevel="0" collapsed="false">
      <c r="A49" s="7" t="s">
        <v>76</v>
      </c>
      <c r="B49" s="7" t="s">
        <v>55</v>
      </c>
      <c r="C49" s="7" t="s">
        <v>56</v>
      </c>
      <c r="D49" s="12" t="n">
        <v>6</v>
      </c>
      <c r="E49" s="12" t="n">
        <v>9.6</v>
      </c>
      <c r="F49" s="12" t="n">
        <v>15.6</v>
      </c>
      <c r="G49" s="9" t="s">
        <v>71</v>
      </c>
    </row>
    <row r="50" customFormat="false" ht="15" hidden="false" customHeight="false" outlineLevel="0" collapsed="false">
      <c r="A50" s="5" t="s">
        <v>77</v>
      </c>
      <c r="B50" s="6"/>
      <c r="C50" s="6"/>
      <c r="D50" s="6"/>
      <c r="E50" s="6"/>
      <c r="F50" s="6"/>
      <c r="G50" s="6"/>
    </row>
    <row r="51" customFormat="false" ht="23.85" hidden="false" customHeight="false" outlineLevel="0" collapsed="false">
      <c r="A51" s="7" t="s">
        <v>78</v>
      </c>
      <c r="B51" s="7" t="s">
        <v>79</v>
      </c>
      <c r="C51" s="7" t="s">
        <v>80</v>
      </c>
      <c r="D51" s="11" t="n">
        <v>0.06</v>
      </c>
      <c r="E51" s="11" t="n">
        <v>0.1</v>
      </c>
      <c r="F51" s="11" t="n">
        <v>0.14</v>
      </c>
      <c r="G51" s="9" t="s">
        <v>81</v>
      </c>
    </row>
    <row r="52" customFormat="false" ht="23.85" hidden="false" customHeight="false" outlineLevel="0" collapsed="false">
      <c r="A52" s="7" t="s">
        <v>82</v>
      </c>
      <c r="B52" s="7" t="s">
        <v>83</v>
      </c>
      <c r="C52" s="7" t="s">
        <v>80</v>
      </c>
      <c r="D52" s="11" t="n">
        <v>0.3</v>
      </c>
      <c r="E52" s="11" t="n">
        <v>0.45</v>
      </c>
      <c r="F52" s="11" t="n">
        <v>0.6</v>
      </c>
      <c r="G52" s="9" t="s">
        <v>84</v>
      </c>
    </row>
    <row r="53" customFormat="false" ht="23.85" hidden="false" customHeight="false" outlineLevel="0" collapsed="false">
      <c r="A53" s="7" t="s">
        <v>85</v>
      </c>
      <c r="B53" s="7" t="s">
        <v>86</v>
      </c>
      <c r="C53" s="7" t="s">
        <v>80</v>
      </c>
      <c r="D53" s="11" t="n">
        <v>0.5</v>
      </c>
      <c r="E53" s="11" t="n">
        <v>0.65</v>
      </c>
      <c r="F53" s="11" t="n">
        <v>0.8</v>
      </c>
      <c r="G53" s="9" t="s">
        <v>87</v>
      </c>
    </row>
    <row r="54" customFormat="false" ht="23.85" hidden="false" customHeight="false" outlineLevel="0" collapsed="false">
      <c r="A54" s="7" t="s">
        <v>88</v>
      </c>
      <c r="B54" s="7" t="s">
        <v>89</v>
      </c>
      <c r="C54" s="7" t="s">
        <v>80</v>
      </c>
      <c r="D54" s="11" t="n">
        <v>0.75</v>
      </c>
      <c r="E54" s="11" t="n">
        <v>0.85</v>
      </c>
      <c r="F54" s="11" t="n">
        <v>0.92</v>
      </c>
      <c r="G54" s="9" t="s">
        <v>90</v>
      </c>
    </row>
    <row r="55" customFormat="false" ht="15" hidden="false" customHeight="false" outlineLevel="0" collapsed="false">
      <c r="A55" s="5" t="s">
        <v>91</v>
      </c>
      <c r="B55" s="6"/>
      <c r="C55" s="6"/>
      <c r="D55" s="6"/>
      <c r="E55" s="6"/>
      <c r="F55" s="6"/>
      <c r="G55" s="6"/>
    </row>
    <row r="56" customFormat="false" ht="23.85" hidden="false" customHeight="false" outlineLevel="0" collapsed="false">
      <c r="A56" s="7" t="s">
        <v>92</v>
      </c>
      <c r="B56" s="7" t="s">
        <v>93</v>
      </c>
      <c r="C56" s="7" t="s">
        <v>94</v>
      </c>
      <c r="D56" s="13" t="n">
        <v>3000</v>
      </c>
      <c r="E56" s="13" t="n">
        <v>3000</v>
      </c>
      <c r="F56" s="13" t="n">
        <v>3000</v>
      </c>
      <c r="G56" s="9" t="s">
        <v>95</v>
      </c>
    </row>
    <row r="57" customFormat="false" ht="23.85" hidden="false" customHeight="false" outlineLevel="0" collapsed="false">
      <c r="A57" s="7" t="s">
        <v>96</v>
      </c>
      <c r="B57" s="7" t="s">
        <v>93</v>
      </c>
      <c r="C57" s="7" t="s">
        <v>94</v>
      </c>
      <c r="D57" s="13" t="n">
        <v>6000</v>
      </c>
      <c r="E57" s="13" t="n">
        <v>6000</v>
      </c>
      <c r="F57" s="13" t="n">
        <v>6000</v>
      </c>
      <c r="G57" s="9" t="s">
        <v>95</v>
      </c>
    </row>
    <row r="58" customFormat="false" ht="23.85" hidden="false" customHeight="false" outlineLevel="0" collapsed="false">
      <c r="A58" s="7" t="s">
        <v>97</v>
      </c>
      <c r="B58" s="7" t="s">
        <v>93</v>
      </c>
      <c r="C58" s="7" t="s">
        <v>94</v>
      </c>
      <c r="D58" s="13" t="n">
        <v>9000</v>
      </c>
      <c r="E58" s="13" t="n">
        <v>9000</v>
      </c>
      <c r="F58" s="13" t="n">
        <v>9000</v>
      </c>
      <c r="G58" s="9" t="s">
        <v>95</v>
      </c>
    </row>
    <row r="59" customFormat="false" ht="15" hidden="false" customHeight="false" outlineLevel="0" collapsed="false">
      <c r="A59" s="5" t="s">
        <v>98</v>
      </c>
      <c r="B59" s="6"/>
      <c r="C59" s="6"/>
      <c r="D59" s="6"/>
      <c r="E59" s="6"/>
      <c r="F59" s="6"/>
      <c r="G59" s="6"/>
    </row>
    <row r="60" customFormat="false" ht="23.85" hidden="false" customHeight="false" outlineLevel="0" collapsed="false">
      <c r="A60" s="7" t="s">
        <v>99</v>
      </c>
      <c r="B60" s="7" t="s">
        <v>100</v>
      </c>
      <c r="C60" s="7" t="s">
        <v>101</v>
      </c>
      <c r="D60" s="11" t="n">
        <v>0.45</v>
      </c>
      <c r="E60" s="11" t="n">
        <v>0.45</v>
      </c>
      <c r="F60" s="11" t="n">
        <v>0.45</v>
      </c>
      <c r="G60" s="9" t="s">
        <v>102</v>
      </c>
    </row>
    <row r="61" customFormat="false" ht="23.85" hidden="false" customHeight="false" outlineLevel="0" collapsed="false">
      <c r="A61" s="7" t="s">
        <v>103</v>
      </c>
      <c r="B61" s="7" t="s">
        <v>100</v>
      </c>
      <c r="C61" s="7" t="s">
        <v>101</v>
      </c>
      <c r="D61" s="11" t="n">
        <v>0.4</v>
      </c>
      <c r="E61" s="11" t="n">
        <v>0.4</v>
      </c>
      <c r="F61" s="11" t="n">
        <v>0.4</v>
      </c>
      <c r="G61" s="9" t="s">
        <v>102</v>
      </c>
    </row>
    <row r="62" customFormat="false" ht="23.85" hidden="false" customHeight="false" outlineLevel="0" collapsed="false">
      <c r="A62" s="7" t="s">
        <v>104</v>
      </c>
      <c r="B62" s="7" t="s">
        <v>100</v>
      </c>
      <c r="C62" s="7" t="s">
        <v>101</v>
      </c>
      <c r="D62" s="11" t="n">
        <v>0.15</v>
      </c>
      <c r="E62" s="11" t="n">
        <v>0.15</v>
      </c>
      <c r="F62" s="11" t="n">
        <v>0.15</v>
      </c>
      <c r="G62" s="9" t="s">
        <v>102</v>
      </c>
    </row>
    <row r="63" customFormat="false" ht="23.85" hidden="false" customHeight="false" outlineLevel="0" collapsed="false">
      <c r="A63" s="7" t="s">
        <v>105</v>
      </c>
      <c r="B63" s="7" t="s">
        <v>100</v>
      </c>
      <c r="C63" s="7" t="s">
        <v>101</v>
      </c>
      <c r="D63" s="11" t="n">
        <v>0</v>
      </c>
      <c r="E63" s="11" t="n">
        <v>0</v>
      </c>
      <c r="F63" s="11" t="n">
        <v>0</v>
      </c>
      <c r="G63" s="9" t="s">
        <v>102</v>
      </c>
    </row>
    <row r="64" customFormat="false" ht="23.85" hidden="false" customHeight="false" outlineLevel="0" collapsed="false">
      <c r="A64" s="7" t="s">
        <v>106</v>
      </c>
      <c r="B64" s="7" t="s">
        <v>100</v>
      </c>
      <c r="C64" s="7" t="s">
        <v>101</v>
      </c>
      <c r="D64" s="11" t="n">
        <v>0</v>
      </c>
      <c r="E64" s="11" t="n">
        <v>0</v>
      </c>
      <c r="F64" s="11" t="n">
        <v>0</v>
      </c>
      <c r="G64" s="9" t="s">
        <v>102</v>
      </c>
    </row>
    <row r="65" customFormat="false" ht="23.85" hidden="false" customHeight="false" outlineLevel="0" collapsed="false">
      <c r="A65" s="7" t="s">
        <v>107</v>
      </c>
      <c r="B65" s="7" t="s">
        <v>100</v>
      </c>
      <c r="C65" s="7" t="s">
        <v>101</v>
      </c>
      <c r="D65" s="11" t="n">
        <v>0</v>
      </c>
      <c r="E65" s="11" t="n">
        <v>0</v>
      </c>
      <c r="F65" s="11" t="n">
        <v>0</v>
      </c>
      <c r="G65" s="9" t="s">
        <v>102</v>
      </c>
    </row>
    <row r="66" customFormat="false" ht="23.85" hidden="false" customHeight="false" outlineLevel="0" collapsed="false">
      <c r="A66" s="7" t="s">
        <v>108</v>
      </c>
      <c r="B66" s="7" t="s">
        <v>100</v>
      </c>
      <c r="C66" s="7" t="s">
        <v>101</v>
      </c>
      <c r="D66" s="11" t="n">
        <v>0.32</v>
      </c>
      <c r="E66" s="11" t="n">
        <v>0.32</v>
      </c>
      <c r="F66" s="11" t="n">
        <v>0.32</v>
      </c>
      <c r="G66" s="9" t="s">
        <v>102</v>
      </c>
    </row>
    <row r="67" customFormat="false" ht="23.85" hidden="false" customHeight="false" outlineLevel="0" collapsed="false">
      <c r="A67" s="7" t="s">
        <v>109</v>
      </c>
      <c r="B67" s="7" t="s">
        <v>100</v>
      </c>
      <c r="C67" s="7" t="s">
        <v>101</v>
      </c>
      <c r="D67" s="11" t="n">
        <v>0.3</v>
      </c>
      <c r="E67" s="11" t="n">
        <v>0.3</v>
      </c>
      <c r="F67" s="11" t="n">
        <v>0.3</v>
      </c>
      <c r="G67" s="9" t="s">
        <v>102</v>
      </c>
    </row>
    <row r="68" customFormat="false" ht="23.85" hidden="false" customHeight="false" outlineLevel="0" collapsed="false">
      <c r="A68" s="7" t="s">
        <v>110</v>
      </c>
      <c r="B68" s="7" t="s">
        <v>100</v>
      </c>
      <c r="C68" s="7" t="s">
        <v>101</v>
      </c>
      <c r="D68" s="11" t="n">
        <v>0.1</v>
      </c>
      <c r="E68" s="11" t="n">
        <v>0.1</v>
      </c>
      <c r="F68" s="11" t="n">
        <v>0.1</v>
      </c>
      <c r="G68" s="9" t="s">
        <v>102</v>
      </c>
    </row>
    <row r="69" customFormat="false" ht="23.85" hidden="false" customHeight="false" outlineLevel="0" collapsed="false">
      <c r="A69" s="7" t="s">
        <v>111</v>
      </c>
      <c r="B69" s="7" t="s">
        <v>100</v>
      </c>
      <c r="C69" s="7" t="s">
        <v>101</v>
      </c>
      <c r="D69" s="11" t="n">
        <v>0.12</v>
      </c>
      <c r="E69" s="11" t="n">
        <v>0.12</v>
      </c>
      <c r="F69" s="11" t="n">
        <v>0.12</v>
      </c>
      <c r="G69" s="9" t="s">
        <v>102</v>
      </c>
    </row>
    <row r="70" customFormat="false" ht="23.85" hidden="false" customHeight="false" outlineLevel="0" collapsed="false">
      <c r="A70" s="7" t="s">
        <v>112</v>
      </c>
      <c r="B70" s="7" t="s">
        <v>100</v>
      </c>
      <c r="C70" s="7" t="s">
        <v>101</v>
      </c>
      <c r="D70" s="11" t="n">
        <v>0.06</v>
      </c>
      <c r="E70" s="11" t="n">
        <v>0.06</v>
      </c>
      <c r="F70" s="11" t="n">
        <v>0.06</v>
      </c>
      <c r="G70" s="9" t="s">
        <v>102</v>
      </c>
    </row>
    <row r="71" customFormat="false" ht="23.85" hidden="false" customHeight="false" outlineLevel="0" collapsed="false">
      <c r="A71" s="7" t="s">
        <v>113</v>
      </c>
      <c r="B71" s="7" t="s">
        <v>100</v>
      </c>
      <c r="C71" s="7" t="s">
        <v>101</v>
      </c>
      <c r="D71" s="11" t="n">
        <v>0.1</v>
      </c>
      <c r="E71" s="11" t="n">
        <v>0.1</v>
      </c>
      <c r="F71" s="11" t="n">
        <v>0.1</v>
      </c>
      <c r="G71" s="9" t="s">
        <v>102</v>
      </c>
    </row>
    <row r="72" customFormat="false" ht="23.85" hidden="false" customHeight="false" outlineLevel="0" collapsed="false">
      <c r="A72" s="7" t="s">
        <v>114</v>
      </c>
      <c r="B72" s="7" t="s">
        <v>100</v>
      </c>
      <c r="C72" s="7" t="s">
        <v>101</v>
      </c>
      <c r="D72" s="11" t="n">
        <v>0.3</v>
      </c>
      <c r="E72" s="11" t="n">
        <v>0.3</v>
      </c>
      <c r="F72" s="11" t="n">
        <v>0.3</v>
      </c>
      <c r="G72" s="9" t="s">
        <v>102</v>
      </c>
    </row>
    <row r="73" customFormat="false" ht="23.85" hidden="false" customHeight="false" outlineLevel="0" collapsed="false">
      <c r="A73" s="7" t="s">
        <v>115</v>
      </c>
      <c r="B73" s="7" t="s">
        <v>100</v>
      </c>
      <c r="C73" s="7" t="s">
        <v>101</v>
      </c>
      <c r="D73" s="11" t="n">
        <v>0.3</v>
      </c>
      <c r="E73" s="11" t="n">
        <v>0.3</v>
      </c>
      <c r="F73" s="11" t="n">
        <v>0.3</v>
      </c>
      <c r="G73" s="9" t="s">
        <v>102</v>
      </c>
    </row>
    <row r="74" customFormat="false" ht="23.85" hidden="false" customHeight="false" outlineLevel="0" collapsed="false">
      <c r="A74" s="7" t="s">
        <v>116</v>
      </c>
      <c r="B74" s="7" t="s">
        <v>100</v>
      </c>
      <c r="C74" s="7" t="s">
        <v>101</v>
      </c>
      <c r="D74" s="11" t="n">
        <v>0.1</v>
      </c>
      <c r="E74" s="11" t="n">
        <v>0.1</v>
      </c>
      <c r="F74" s="11" t="n">
        <v>0.1</v>
      </c>
      <c r="G74" s="9" t="s">
        <v>102</v>
      </c>
    </row>
    <row r="75" customFormat="false" ht="23.85" hidden="false" customHeight="false" outlineLevel="0" collapsed="false">
      <c r="A75" s="7" t="s">
        <v>117</v>
      </c>
      <c r="B75" s="7" t="s">
        <v>100</v>
      </c>
      <c r="C75" s="7" t="s">
        <v>101</v>
      </c>
      <c r="D75" s="11" t="n">
        <v>0.12</v>
      </c>
      <c r="E75" s="11" t="n">
        <v>0.12</v>
      </c>
      <c r="F75" s="11" t="n">
        <v>0.12</v>
      </c>
      <c r="G75" s="9" t="s">
        <v>102</v>
      </c>
    </row>
    <row r="76" customFormat="false" ht="23.85" hidden="false" customHeight="false" outlineLevel="0" collapsed="false">
      <c r="A76" s="7" t="s">
        <v>118</v>
      </c>
      <c r="B76" s="7" t="s">
        <v>100</v>
      </c>
      <c r="C76" s="7" t="s">
        <v>101</v>
      </c>
      <c r="D76" s="11" t="n">
        <v>0.07</v>
      </c>
      <c r="E76" s="11" t="n">
        <v>0.07</v>
      </c>
      <c r="F76" s="11" t="n">
        <v>0.07</v>
      </c>
      <c r="G76" s="9" t="s">
        <v>102</v>
      </c>
    </row>
    <row r="77" customFormat="false" ht="23.85" hidden="false" customHeight="false" outlineLevel="0" collapsed="false">
      <c r="A77" s="7" t="s">
        <v>119</v>
      </c>
      <c r="B77" s="7" t="s">
        <v>100</v>
      </c>
      <c r="C77" s="7" t="s">
        <v>101</v>
      </c>
      <c r="D77" s="11" t="n">
        <v>0.11</v>
      </c>
      <c r="E77" s="11" t="n">
        <v>0.11</v>
      </c>
      <c r="F77" s="11" t="n">
        <v>0.11</v>
      </c>
      <c r="G77" s="9" t="s">
        <v>102</v>
      </c>
    </row>
    <row r="78" customFormat="false" ht="15" hidden="false" customHeight="false" outlineLevel="0" collapsed="false">
      <c r="A78" s="5" t="s">
        <v>120</v>
      </c>
      <c r="B78" s="6"/>
      <c r="C78" s="6"/>
      <c r="D78" s="6"/>
      <c r="E78" s="6"/>
      <c r="F78" s="6"/>
      <c r="G78" s="6"/>
    </row>
    <row r="79" customFormat="false" ht="15" hidden="false" customHeight="false" outlineLevel="0" collapsed="false">
      <c r="A79" s="7" t="s">
        <v>121</v>
      </c>
      <c r="B79" s="7" t="s">
        <v>122</v>
      </c>
      <c r="C79" s="7" t="s">
        <v>123</v>
      </c>
      <c r="D79" s="8" t="n">
        <v>3</v>
      </c>
      <c r="E79" s="8" t="n">
        <v>3</v>
      </c>
      <c r="F79" s="8" t="n">
        <v>3</v>
      </c>
      <c r="G79" s="9" t="s">
        <v>124</v>
      </c>
    </row>
    <row r="80" customFormat="false" ht="15" hidden="false" customHeight="false" outlineLevel="0" collapsed="false">
      <c r="A80" s="7" t="s">
        <v>125</v>
      </c>
      <c r="B80" s="7" t="s">
        <v>122</v>
      </c>
      <c r="C80" s="7" t="s">
        <v>126</v>
      </c>
      <c r="D80" s="14" t="n">
        <v>30.4</v>
      </c>
      <c r="E80" s="14" t="n">
        <v>30.4</v>
      </c>
      <c r="F80" s="14" t="n">
        <v>30.4</v>
      </c>
      <c r="G80" s="9" t="s">
        <v>127</v>
      </c>
    </row>
    <row r="81" customFormat="false" ht="15" hidden="false" customHeight="false" outlineLevel="0" collapsed="false">
      <c r="A81" s="7" t="s">
        <v>128</v>
      </c>
      <c r="B81" s="7" t="s">
        <v>129</v>
      </c>
      <c r="C81" s="7" t="s">
        <v>130</v>
      </c>
      <c r="D81" s="8" t="n">
        <v>15</v>
      </c>
      <c r="E81" s="8" t="n">
        <v>15</v>
      </c>
      <c r="F81" s="8" t="n">
        <v>15</v>
      </c>
      <c r="G81" s="9" t="s">
        <v>131</v>
      </c>
    </row>
    <row r="82" customFormat="false" ht="15" hidden="false" customHeight="false" outlineLevel="0" collapsed="false">
      <c r="A82" s="7" t="s">
        <v>132</v>
      </c>
      <c r="B82" s="7" t="s">
        <v>133</v>
      </c>
      <c r="C82" s="7" t="s">
        <v>130</v>
      </c>
      <c r="D82" s="8" t="n">
        <v>30</v>
      </c>
      <c r="E82" s="8" t="n">
        <v>30</v>
      </c>
      <c r="F82" s="8" t="n">
        <v>30</v>
      </c>
      <c r="G82" s="9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7" min="6" style="1" width="12"/>
    <col collapsed="false" customWidth="true" hidden="false" outlineLevel="0" max="9" min="8" style="1" width="9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22"/>
    <col collapsed="false" customWidth="true" hidden="false" outlineLevel="0" max="13" min="13" style="1" width="11"/>
    <col collapsed="false" customWidth="true" hidden="false" outlineLevel="0" max="14" min="14" style="1" width="90"/>
  </cols>
  <sheetData>
    <row r="1" customFormat="false" ht="15" hidden="false" customHeight="false" outlineLevel="0" collapsed="false">
      <c r="A1" s="15" t="s">
        <v>135</v>
      </c>
      <c r="B1" s="15" t="s">
        <v>136</v>
      </c>
      <c r="C1" s="15" t="s">
        <v>137</v>
      </c>
      <c r="D1" s="15" t="s">
        <v>138</v>
      </c>
      <c r="E1" s="15" t="s">
        <v>139</v>
      </c>
      <c r="F1" s="15" t="s">
        <v>140</v>
      </c>
      <c r="G1" s="15" t="s">
        <v>141</v>
      </c>
      <c r="H1" s="15" t="s">
        <v>142</v>
      </c>
      <c r="I1" s="15" t="s">
        <v>143</v>
      </c>
      <c r="J1" s="15" t="s">
        <v>144</v>
      </c>
      <c r="K1" s="15" t="s">
        <v>145</v>
      </c>
      <c r="L1" s="15" t="s">
        <v>146</v>
      </c>
      <c r="M1" s="15" t="s">
        <v>147</v>
      </c>
      <c r="N1" s="15" t="s">
        <v>148</v>
      </c>
    </row>
    <row r="2" customFormat="false" ht="15" hidden="false" customHeight="false" outlineLevel="0" collapsed="false">
      <c r="A2" s="7" t="s">
        <v>149</v>
      </c>
      <c r="B2" s="7" t="s">
        <v>150</v>
      </c>
      <c r="C2" s="7" t="s">
        <v>151</v>
      </c>
      <c r="D2" s="7" t="n">
        <v>1</v>
      </c>
      <c r="E2" s="7" t="s">
        <v>152</v>
      </c>
      <c r="F2" s="7" t="n">
        <v>20</v>
      </c>
      <c r="G2" s="7" t="n">
        <v>67</v>
      </c>
      <c r="H2" s="7" t="n">
        <v>7</v>
      </c>
      <c r="I2" s="7" t="n">
        <v>20</v>
      </c>
      <c r="J2" s="7" t="s">
        <v>153</v>
      </c>
      <c r="K2" s="7" t="n">
        <v>1</v>
      </c>
      <c r="L2" s="7" t="s">
        <v>154</v>
      </c>
      <c r="M2" s="7" t="s">
        <v>155</v>
      </c>
      <c r="N2" s="7" t="s">
        <v>156</v>
      </c>
    </row>
    <row r="3" customFormat="false" ht="15" hidden="false" customHeight="false" outlineLevel="0" collapsed="false">
      <c r="A3" s="7" t="s">
        <v>149</v>
      </c>
      <c r="B3" s="7" t="s">
        <v>150</v>
      </c>
      <c r="C3" s="7" t="s">
        <v>157</v>
      </c>
      <c r="D3" s="7" t="n">
        <v>1</v>
      </c>
      <c r="E3" s="7" t="s">
        <v>152</v>
      </c>
      <c r="F3" s="7" t="n">
        <v>6</v>
      </c>
      <c r="G3" s="7" t="n">
        <v>21</v>
      </c>
      <c r="H3" s="7" t="n">
        <v>7</v>
      </c>
      <c r="I3" s="7" t="n">
        <v>18</v>
      </c>
      <c r="J3" s="7" t="s">
        <v>153</v>
      </c>
      <c r="K3" s="7" t="n">
        <v>1</v>
      </c>
      <c r="L3" s="7" t="s">
        <v>154</v>
      </c>
      <c r="M3" s="7" t="s">
        <v>155</v>
      </c>
      <c r="N3" s="7" t="s">
        <v>158</v>
      </c>
    </row>
    <row r="4" customFormat="false" ht="15" hidden="false" customHeight="false" outlineLevel="0" collapsed="false">
      <c r="A4" s="7" t="s">
        <v>149</v>
      </c>
      <c r="B4" s="7" t="s">
        <v>150</v>
      </c>
      <c r="C4" s="7" t="s">
        <v>159</v>
      </c>
      <c r="D4" s="7" t="n">
        <v>1</v>
      </c>
      <c r="E4" s="7" t="s">
        <v>152</v>
      </c>
      <c r="F4" s="7" t="n">
        <v>16</v>
      </c>
      <c r="G4" s="7" t="n">
        <v>63</v>
      </c>
      <c r="H4" s="7" t="n">
        <v>8</v>
      </c>
      <c r="I4" s="7" t="n">
        <v>22</v>
      </c>
      <c r="J4" s="7" t="s">
        <v>153</v>
      </c>
      <c r="K4" s="7" t="n">
        <v>1</v>
      </c>
      <c r="L4" s="7" t="s">
        <v>160</v>
      </c>
      <c r="M4" s="7" t="s">
        <v>155</v>
      </c>
      <c r="N4" s="7" t="s">
        <v>161</v>
      </c>
    </row>
    <row r="5" customFormat="false" ht="15" hidden="false" customHeight="false" outlineLevel="0" collapsed="false">
      <c r="A5" s="7" t="s">
        <v>149</v>
      </c>
      <c r="B5" s="7" t="s">
        <v>150</v>
      </c>
      <c r="C5" s="7" t="s">
        <v>162</v>
      </c>
      <c r="D5" s="7" t="n">
        <v>1</v>
      </c>
      <c r="E5" s="7" t="s">
        <v>163</v>
      </c>
      <c r="F5" s="7" t="n">
        <v>16</v>
      </c>
      <c r="G5" s="7" t="n">
        <v>56</v>
      </c>
      <c r="H5" s="7" t="n">
        <v>8</v>
      </c>
      <c r="I5" s="7" t="n">
        <v>22</v>
      </c>
      <c r="J5" s="7" t="s">
        <v>153</v>
      </c>
      <c r="K5" s="7" t="n">
        <v>1</v>
      </c>
      <c r="L5" s="7" t="s">
        <v>160</v>
      </c>
      <c r="M5" s="7" t="s">
        <v>155</v>
      </c>
      <c r="N5" s="7" t="s">
        <v>164</v>
      </c>
    </row>
    <row r="6" customFormat="false" ht="15" hidden="false" customHeight="false" outlineLevel="0" collapsed="false">
      <c r="A6" s="7" t="s">
        <v>149</v>
      </c>
      <c r="B6" s="7" t="s">
        <v>150</v>
      </c>
      <c r="C6" s="7" t="s">
        <v>165</v>
      </c>
      <c r="D6" s="7" t="n">
        <v>1</v>
      </c>
      <c r="E6" s="7" t="s">
        <v>163</v>
      </c>
      <c r="F6" s="7" t="n">
        <v>9</v>
      </c>
      <c r="G6" s="7" t="n">
        <v>35</v>
      </c>
      <c r="H6" s="7" t="n">
        <v>7</v>
      </c>
      <c r="I6" s="7" t="n">
        <v>20</v>
      </c>
      <c r="J6" s="7" t="s">
        <v>153</v>
      </c>
      <c r="K6" s="7" t="n">
        <v>1</v>
      </c>
      <c r="L6" s="7" t="s">
        <v>166</v>
      </c>
      <c r="M6" s="7" t="s">
        <v>155</v>
      </c>
      <c r="N6" s="7" t="s">
        <v>167</v>
      </c>
    </row>
    <row r="7" customFormat="false" ht="15" hidden="false" customHeight="false" outlineLevel="0" collapsed="false">
      <c r="A7" s="7" t="s">
        <v>149</v>
      </c>
      <c r="B7" s="7" t="s">
        <v>150</v>
      </c>
      <c r="C7" s="7" t="s">
        <v>168</v>
      </c>
      <c r="D7" s="7" t="n">
        <v>1</v>
      </c>
      <c r="E7" s="7" t="s">
        <v>163</v>
      </c>
      <c r="F7" s="7" t="n">
        <v>5</v>
      </c>
      <c r="G7" s="7" t="n">
        <v>20</v>
      </c>
      <c r="H7" s="7" t="n">
        <v>6</v>
      </c>
      <c r="I7" s="7" t="n">
        <v>16</v>
      </c>
      <c r="J7" s="7" t="s">
        <v>169</v>
      </c>
      <c r="K7" s="7" t="n">
        <v>1</v>
      </c>
      <c r="L7" s="7" t="s">
        <v>170</v>
      </c>
      <c r="M7" s="7" t="s">
        <v>155</v>
      </c>
      <c r="N7" s="7" t="s">
        <v>171</v>
      </c>
    </row>
    <row r="8" customFormat="false" ht="15" hidden="false" customHeight="false" outlineLevel="0" collapsed="false">
      <c r="A8" s="7" t="s">
        <v>149</v>
      </c>
      <c r="B8" s="7" t="s">
        <v>150</v>
      </c>
      <c r="C8" s="7" t="s">
        <v>172</v>
      </c>
      <c r="D8" s="7" t="n">
        <v>1</v>
      </c>
      <c r="E8" s="7" t="s">
        <v>163</v>
      </c>
      <c r="F8" s="7" t="n">
        <v>5</v>
      </c>
      <c r="G8" s="7" t="n">
        <v>20</v>
      </c>
      <c r="H8" s="7" t="n">
        <v>6</v>
      </c>
      <c r="I8" s="7" t="n">
        <v>16</v>
      </c>
      <c r="J8" s="7" t="s">
        <v>169</v>
      </c>
      <c r="K8" s="7" t="n">
        <v>1</v>
      </c>
      <c r="L8" s="7" t="s">
        <v>170</v>
      </c>
      <c r="M8" s="7" t="s">
        <v>155</v>
      </c>
      <c r="N8" s="7" t="s">
        <v>171</v>
      </c>
    </row>
    <row r="9" customFormat="false" ht="15" hidden="false" customHeight="false" outlineLevel="0" collapsed="false">
      <c r="A9" s="7" t="s">
        <v>149</v>
      </c>
      <c r="B9" s="7" t="s">
        <v>150</v>
      </c>
      <c r="C9" s="7" t="s">
        <v>173</v>
      </c>
      <c r="D9" s="7" t="n">
        <v>1</v>
      </c>
      <c r="E9" s="7" t="s">
        <v>163</v>
      </c>
      <c r="F9" s="7" t="n">
        <v>5</v>
      </c>
      <c r="G9" s="7" t="n">
        <v>20</v>
      </c>
      <c r="H9" s="7" t="n">
        <v>6</v>
      </c>
      <c r="I9" s="7" t="n">
        <v>16</v>
      </c>
      <c r="J9" s="7" t="s">
        <v>169</v>
      </c>
      <c r="K9" s="7" t="n">
        <v>1</v>
      </c>
      <c r="L9" s="7" t="s">
        <v>170</v>
      </c>
      <c r="M9" s="7" t="s">
        <v>155</v>
      </c>
      <c r="N9" s="7" t="s">
        <v>171</v>
      </c>
    </row>
    <row r="10" customFormat="false" ht="15" hidden="false" customHeight="false" outlineLevel="0" collapsed="false">
      <c r="A10" s="7" t="s">
        <v>149</v>
      </c>
      <c r="B10" s="7" t="s">
        <v>150</v>
      </c>
      <c r="C10" s="7" t="s">
        <v>174</v>
      </c>
      <c r="D10" s="7" t="n">
        <v>1</v>
      </c>
      <c r="E10" s="7" t="s">
        <v>163</v>
      </c>
      <c r="F10" s="7" t="n">
        <v>10</v>
      </c>
      <c r="G10" s="7" t="n">
        <v>60</v>
      </c>
      <c r="H10" s="7" t="n">
        <v>7</v>
      </c>
      <c r="I10" s="7" t="n">
        <v>18</v>
      </c>
      <c r="J10" s="7" t="s">
        <v>153</v>
      </c>
      <c r="K10" s="7" t="n">
        <v>1</v>
      </c>
      <c r="L10" s="7" t="s">
        <v>170</v>
      </c>
      <c r="M10" s="7" t="s">
        <v>155</v>
      </c>
      <c r="N10" s="7" t="s">
        <v>175</v>
      </c>
    </row>
    <row r="11" customFormat="false" ht="15" hidden="false" customHeight="false" outlineLevel="0" collapsed="false">
      <c r="A11" s="7" t="s">
        <v>149</v>
      </c>
      <c r="B11" s="7" t="s">
        <v>150</v>
      </c>
      <c r="C11" s="7" t="s">
        <v>176</v>
      </c>
      <c r="D11" s="7" t="n">
        <v>1</v>
      </c>
      <c r="E11" s="7" t="s">
        <v>163</v>
      </c>
      <c r="F11" s="7" t="n">
        <v>16</v>
      </c>
      <c r="G11" s="7" t="n">
        <v>56</v>
      </c>
      <c r="H11" s="7" t="n">
        <v>5</v>
      </c>
      <c r="I11" s="7" t="n">
        <v>12</v>
      </c>
      <c r="J11" s="7" t="s">
        <v>169</v>
      </c>
      <c r="K11" s="7" t="n">
        <v>2</v>
      </c>
      <c r="L11" s="7" t="s">
        <v>166</v>
      </c>
      <c r="M11" s="7" t="s">
        <v>155</v>
      </c>
      <c r="N11" s="7" t="s">
        <v>177</v>
      </c>
    </row>
    <row r="12" customFormat="false" ht="15" hidden="false" customHeight="false" outlineLevel="0" collapsed="false">
      <c r="A12" s="7" t="s">
        <v>149</v>
      </c>
      <c r="B12" s="7" t="s">
        <v>150</v>
      </c>
      <c r="C12" s="7" t="s">
        <v>178</v>
      </c>
      <c r="D12" s="7" t="n">
        <v>1</v>
      </c>
      <c r="E12" s="7" t="s">
        <v>163</v>
      </c>
      <c r="F12" s="7" t="n">
        <v>11</v>
      </c>
      <c r="G12" s="7" t="n">
        <v>42</v>
      </c>
      <c r="H12" s="7" t="n">
        <v>5</v>
      </c>
      <c r="I12" s="7" t="n">
        <v>12</v>
      </c>
      <c r="J12" s="7" t="s">
        <v>169</v>
      </c>
      <c r="K12" s="7" t="n">
        <v>2</v>
      </c>
      <c r="L12" s="7" t="s">
        <v>166</v>
      </c>
      <c r="M12" s="7" t="s">
        <v>155</v>
      </c>
      <c r="N12" s="7" t="s">
        <v>179</v>
      </c>
    </row>
    <row r="13" customFormat="false" ht="15" hidden="false" customHeight="false" outlineLevel="0" collapsed="false">
      <c r="A13" s="7" t="s">
        <v>149</v>
      </c>
      <c r="B13" s="7" t="s">
        <v>150</v>
      </c>
      <c r="C13" s="7" t="s">
        <v>180</v>
      </c>
      <c r="D13" s="7" t="n">
        <v>2</v>
      </c>
      <c r="E13" s="7" t="s">
        <v>163</v>
      </c>
      <c r="F13" s="7" t="n">
        <v>440</v>
      </c>
      <c r="G13" s="7" t="n">
        <v>1300</v>
      </c>
      <c r="H13" s="7" t="n">
        <v>5</v>
      </c>
      <c r="I13" s="7" t="n">
        <v>14</v>
      </c>
      <c r="J13" s="7" t="s">
        <v>153</v>
      </c>
      <c r="K13" s="7" t="n">
        <v>2</v>
      </c>
      <c r="L13" s="7" t="s">
        <v>181</v>
      </c>
      <c r="M13" s="7" t="s">
        <v>155</v>
      </c>
      <c r="N13" s="7" t="s">
        <v>182</v>
      </c>
    </row>
    <row r="14" customFormat="false" ht="15" hidden="false" customHeight="false" outlineLevel="0" collapsed="false">
      <c r="A14" s="7" t="s">
        <v>149</v>
      </c>
      <c r="B14" s="7" t="s">
        <v>150</v>
      </c>
      <c r="C14" s="7" t="s">
        <v>183</v>
      </c>
      <c r="D14" s="7" t="n">
        <v>2</v>
      </c>
      <c r="E14" s="7" t="s">
        <v>152</v>
      </c>
      <c r="F14" s="7" t="n">
        <v>76</v>
      </c>
      <c r="G14" s="7" t="n">
        <v>180</v>
      </c>
      <c r="H14" s="7" t="n">
        <v>6</v>
      </c>
      <c r="I14" s="7" t="n">
        <v>15</v>
      </c>
      <c r="J14" s="7" t="s">
        <v>153</v>
      </c>
      <c r="K14" s="7" t="n">
        <v>1</v>
      </c>
      <c r="L14" s="7" t="s">
        <v>184</v>
      </c>
      <c r="M14" s="7" t="s">
        <v>169</v>
      </c>
      <c r="N14" s="7" t="s">
        <v>185</v>
      </c>
    </row>
    <row r="15" customFormat="false" ht="15" hidden="false" customHeight="false" outlineLevel="0" collapsed="false">
      <c r="A15" s="7" t="s">
        <v>149</v>
      </c>
      <c r="B15" s="7" t="s">
        <v>150</v>
      </c>
      <c r="C15" s="7" t="s">
        <v>186</v>
      </c>
      <c r="D15" s="7" t="n">
        <v>2</v>
      </c>
      <c r="E15" s="7" t="s">
        <v>163</v>
      </c>
      <c r="F15" s="7" t="n">
        <v>55</v>
      </c>
      <c r="G15" s="7" t="n">
        <v>170</v>
      </c>
      <c r="H15" s="7" t="n">
        <v>6</v>
      </c>
      <c r="I15" s="7" t="n">
        <v>15</v>
      </c>
      <c r="J15" s="7" t="s">
        <v>153</v>
      </c>
      <c r="K15" s="7" t="n">
        <v>2</v>
      </c>
      <c r="L15" s="7" t="s">
        <v>187</v>
      </c>
      <c r="M15" s="7" t="s">
        <v>155</v>
      </c>
      <c r="N15" s="7" t="s">
        <v>188</v>
      </c>
    </row>
    <row r="16" customFormat="false" ht="15" hidden="false" customHeight="false" outlineLevel="0" collapsed="false">
      <c r="A16" s="7" t="s">
        <v>149</v>
      </c>
      <c r="B16" s="7" t="s">
        <v>150</v>
      </c>
      <c r="C16" s="7" t="s">
        <v>189</v>
      </c>
      <c r="D16" s="7" t="n">
        <v>2</v>
      </c>
      <c r="E16" s="7" t="s">
        <v>163</v>
      </c>
      <c r="F16" s="7" t="n">
        <v>55</v>
      </c>
      <c r="G16" s="7" t="n">
        <v>170</v>
      </c>
      <c r="H16" s="7" t="n">
        <v>6</v>
      </c>
      <c r="I16" s="7" t="n">
        <v>15</v>
      </c>
      <c r="J16" s="7" t="s">
        <v>153</v>
      </c>
      <c r="K16" s="7" t="n">
        <v>2</v>
      </c>
      <c r="L16" s="7" t="s">
        <v>187</v>
      </c>
      <c r="M16" s="7" t="s">
        <v>155</v>
      </c>
      <c r="N16" s="7" t="s">
        <v>190</v>
      </c>
    </row>
    <row r="17" customFormat="false" ht="15" hidden="false" customHeight="false" outlineLevel="0" collapsed="false">
      <c r="A17" s="7" t="s">
        <v>149</v>
      </c>
      <c r="B17" s="7" t="s">
        <v>150</v>
      </c>
      <c r="C17" s="7" t="s">
        <v>191</v>
      </c>
      <c r="D17" s="7" t="n">
        <v>2</v>
      </c>
      <c r="E17" s="7" t="s">
        <v>163</v>
      </c>
      <c r="F17" s="7" t="n">
        <v>1</v>
      </c>
      <c r="G17" s="7" t="n">
        <v>6</v>
      </c>
      <c r="H17" s="7" t="n">
        <v>6</v>
      </c>
      <c r="I17" s="7" t="n">
        <v>16</v>
      </c>
      <c r="J17" s="7" t="s">
        <v>169</v>
      </c>
      <c r="K17" s="7" t="n">
        <v>1</v>
      </c>
      <c r="L17" s="7" t="s">
        <v>187</v>
      </c>
      <c r="M17" s="7" t="s">
        <v>155</v>
      </c>
      <c r="N17" s="7" t="s">
        <v>192</v>
      </c>
    </row>
    <row r="18" customFormat="false" ht="15" hidden="false" customHeight="false" outlineLevel="0" collapsed="false">
      <c r="A18" s="7" t="s">
        <v>149</v>
      </c>
      <c r="B18" s="7" t="s">
        <v>150</v>
      </c>
      <c r="C18" s="7" t="s">
        <v>193</v>
      </c>
      <c r="D18" s="7" t="n">
        <v>2</v>
      </c>
      <c r="E18" s="7" t="s">
        <v>163</v>
      </c>
      <c r="F18" s="7" t="n">
        <v>16</v>
      </c>
      <c r="G18" s="7" t="n">
        <v>56</v>
      </c>
      <c r="H18" s="7" t="n">
        <v>6</v>
      </c>
      <c r="I18" s="7" t="n">
        <v>16</v>
      </c>
      <c r="J18" s="7" t="s">
        <v>153</v>
      </c>
      <c r="K18" s="7" t="n">
        <v>2</v>
      </c>
      <c r="L18" s="7" t="s">
        <v>194</v>
      </c>
      <c r="M18" s="7" t="s">
        <v>155</v>
      </c>
      <c r="N18" s="7" t="s">
        <v>195</v>
      </c>
    </row>
    <row r="19" customFormat="false" ht="15" hidden="false" customHeight="false" outlineLevel="0" collapsed="false">
      <c r="A19" s="7" t="s">
        <v>149</v>
      </c>
      <c r="B19" s="7" t="s">
        <v>150</v>
      </c>
      <c r="C19" s="7" t="s">
        <v>196</v>
      </c>
      <c r="D19" s="7" t="n">
        <v>2</v>
      </c>
      <c r="E19" s="7" t="s">
        <v>163</v>
      </c>
      <c r="F19" s="7" t="n">
        <v>9</v>
      </c>
      <c r="G19" s="7" t="n">
        <v>35</v>
      </c>
      <c r="H19" s="7" t="n">
        <v>6</v>
      </c>
      <c r="I19" s="7" t="n">
        <v>15</v>
      </c>
      <c r="J19" s="7" t="s">
        <v>169</v>
      </c>
      <c r="K19" s="7" t="n">
        <v>1</v>
      </c>
      <c r="L19" s="7" t="s">
        <v>187</v>
      </c>
      <c r="M19" s="7" t="s">
        <v>155</v>
      </c>
      <c r="N19" s="7" t="s">
        <v>197</v>
      </c>
    </row>
    <row r="20" customFormat="false" ht="15" hidden="false" customHeight="false" outlineLevel="0" collapsed="false">
      <c r="A20" s="7" t="s">
        <v>149</v>
      </c>
      <c r="B20" s="7" t="s">
        <v>150</v>
      </c>
      <c r="C20" s="7" t="s">
        <v>198</v>
      </c>
      <c r="D20" s="7" t="n">
        <v>2</v>
      </c>
      <c r="E20" s="7" t="s">
        <v>152</v>
      </c>
      <c r="F20" s="7" t="n">
        <v>22</v>
      </c>
      <c r="G20" s="7" t="n">
        <v>84</v>
      </c>
      <c r="H20" s="7" t="n">
        <v>7</v>
      </c>
      <c r="I20" s="7" t="n">
        <v>18</v>
      </c>
      <c r="J20" s="7" t="s">
        <v>153</v>
      </c>
      <c r="K20" s="7" t="n">
        <v>1</v>
      </c>
      <c r="L20" s="7" t="s">
        <v>160</v>
      </c>
      <c r="M20" s="7" t="s">
        <v>155</v>
      </c>
      <c r="N20" s="7" t="s">
        <v>199</v>
      </c>
    </row>
    <row r="21" customFormat="false" ht="15" hidden="false" customHeight="false" outlineLevel="0" collapsed="false">
      <c r="A21" s="7" t="s">
        <v>149</v>
      </c>
      <c r="B21" s="7" t="s">
        <v>150</v>
      </c>
      <c r="C21" s="7" t="s">
        <v>200</v>
      </c>
      <c r="D21" s="7" t="n">
        <v>2</v>
      </c>
      <c r="E21" s="7" t="s">
        <v>163</v>
      </c>
      <c r="F21" s="7" t="n">
        <v>10</v>
      </c>
      <c r="G21" s="7" t="n">
        <v>60</v>
      </c>
      <c r="H21" s="7" t="n">
        <v>6</v>
      </c>
      <c r="I21" s="7" t="n">
        <v>15</v>
      </c>
      <c r="J21" s="7" t="s">
        <v>153</v>
      </c>
      <c r="K21" s="7" t="n">
        <v>2</v>
      </c>
      <c r="L21" s="7" t="s">
        <v>170</v>
      </c>
      <c r="M21" s="7" t="s">
        <v>155</v>
      </c>
      <c r="N21" s="7" t="s">
        <v>175</v>
      </c>
    </row>
    <row r="22" customFormat="false" ht="15" hidden="false" customHeight="false" outlineLevel="0" collapsed="false">
      <c r="A22" s="7" t="s">
        <v>149</v>
      </c>
      <c r="B22" s="7" t="s">
        <v>150</v>
      </c>
      <c r="C22" s="7" t="s">
        <v>201</v>
      </c>
      <c r="D22" s="7" t="n">
        <v>3</v>
      </c>
      <c r="E22" s="7" t="s">
        <v>202</v>
      </c>
      <c r="F22" s="7" t="n">
        <v>33</v>
      </c>
      <c r="G22" s="7" t="n">
        <v>110</v>
      </c>
      <c r="H22" s="7" t="n">
        <v>3</v>
      </c>
      <c r="I22" s="7" t="n">
        <v>8</v>
      </c>
      <c r="J22" s="7" t="s">
        <v>169</v>
      </c>
      <c r="K22" s="7" t="n">
        <v>2</v>
      </c>
      <c r="L22" s="7" t="s">
        <v>187</v>
      </c>
      <c r="M22" s="7" t="s">
        <v>155</v>
      </c>
      <c r="N22" s="7" t="s">
        <v>203</v>
      </c>
    </row>
    <row r="23" customFormat="false" ht="15" hidden="false" customHeight="false" outlineLevel="0" collapsed="false">
      <c r="A23" s="7" t="s">
        <v>149</v>
      </c>
      <c r="B23" s="7" t="s">
        <v>150</v>
      </c>
      <c r="C23" s="7" t="s">
        <v>204</v>
      </c>
      <c r="D23" s="7" t="n">
        <v>3</v>
      </c>
      <c r="E23" s="7" t="s">
        <v>202</v>
      </c>
      <c r="F23" s="7" t="n">
        <v>6</v>
      </c>
      <c r="G23" s="7" t="n">
        <v>21</v>
      </c>
      <c r="H23" s="7" t="n">
        <v>3</v>
      </c>
      <c r="I23" s="7" t="n">
        <v>8</v>
      </c>
      <c r="J23" s="7" t="s">
        <v>169</v>
      </c>
      <c r="K23" s="7" t="n">
        <v>2</v>
      </c>
      <c r="L23" s="7" t="s">
        <v>187</v>
      </c>
      <c r="M23" s="7" t="s">
        <v>155</v>
      </c>
      <c r="N23" s="7" t="s">
        <v>205</v>
      </c>
    </row>
    <row r="24" customFormat="false" ht="15" hidden="false" customHeight="false" outlineLevel="0" collapsed="false">
      <c r="A24" s="7" t="s">
        <v>149</v>
      </c>
      <c r="B24" s="7" t="s">
        <v>150</v>
      </c>
      <c r="C24" s="7" t="s">
        <v>206</v>
      </c>
      <c r="D24" s="7" t="n">
        <v>3</v>
      </c>
      <c r="E24" s="7" t="s">
        <v>202</v>
      </c>
      <c r="F24" s="7" t="n">
        <v>88</v>
      </c>
      <c r="G24" s="7" t="n">
        <v>280</v>
      </c>
      <c r="H24" s="7" t="n">
        <v>3</v>
      </c>
      <c r="I24" s="7" t="n">
        <v>7</v>
      </c>
      <c r="J24" s="7" t="s">
        <v>169</v>
      </c>
      <c r="K24" s="7" t="n">
        <v>3</v>
      </c>
      <c r="L24" s="7" t="s">
        <v>187</v>
      </c>
      <c r="M24" s="7" t="s">
        <v>155</v>
      </c>
      <c r="N24" s="7" t="s">
        <v>207</v>
      </c>
    </row>
    <row r="25" customFormat="false" ht="15" hidden="false" customHeight="false" outlineLevel="0" collapsed="false">
      <c r="A25" s="7" t="s">
        <v>149</v>
      </c>
      <c r="B25" s="7" t="s">
        <v>150</v>
      </c>
      <c r="C25" s="7" t="s">
        <v>208</v>
      </c>
      <c r="D25" s="7" t="n">
        <v>3</v>
      </c>
      <c r="E25" s="7" t="s">
        <v>202</v>
      </c>
      <c r="F25" s="7" t="n">
        <v>33</v>
      </c>
      <c r="G25" s="7" t="n">
        <v>110</v>
      </c>
      <c r="H25" s="7" t="n">
        <v>4</v>
      </c>
      <c r="I25" s="7" t="n">
        <v>10</v>
      </c>
      <c r="J25" s="7" t="s">
        <v>169</v>
      </c>
      <c r="K25" s="7" t="n">
        <v>3</v>
      </c>
      <c r="L25" s="7" t="s">
        <v>187</v>
      </c>
      <c r="M25" s="7" t="s">
        <v>155</v>
      </c>
      <c r="N25" s="7" t="s">
        <v>209</v>
      </c>
    </row>
    <row r="26" customFormat="false" ht="15" hidden="false" customHeight="false" outlineLevel="0" collapsed="false">
      <c r="A26" s="7" t="s">
        <v>149</v>
      </c>
      <c r="B26" s="7" t="s">
        <v>150</v>
      </c>
      <c r="C26" s="7" t="s">
        <v>210</v>
      </c>
      <c r="D26" s="7" t="n">
        <v>3</v>
      </c>
      <c r="E26" s="7" t="s">
        <v>202</v>
      </c>
      <c r="F26" s="7" t="n">
        <v>55</v>
      </c>
      <c r="G26" s="7" t="n">
        <v>170</v>
      </c>
      <c r="H26" s="7" t="n">
        <v>2</v>
      </c>
      <c r="I26" s="7" t="n">
        <v>6</v>
      </c>
      <c r="J26" s="7" t="s">
        <v>155</v>
      </c>
      <c r="K26" s="7" t="n">
        <v>3</v>
      </c>
      <c r="L26" s="7" t="s">
        <v>187</v>
      </c>
      <c r="M26" s="7" t="s">
        <v>155</v>
      </c>
      <c r="N26" s="7" t="s">
        <v>211</v>
      </c>
    </row>
    <row r="27" customFormat="false" ht="15" hidden="false" customHeight="false" outlineLevel="0" collapsed="false">
      <c r="A27" s="7" t="s">
        <v>212</v>
      </c>
      <c r="B27" s="7" t="s">
        <v>213</v>
      </c>
      <c r="C27" s="7" t="s">
        <v>214</v>
      </c>
      <c r="D27" s="7" t="n">
        <v>1</v>
      </c>
      <c r="E27" s="7" t="s">
        <v>152</v>
      </c>
      <c r="F27" s="7" t="n">
        <v>25</v>
      </c>
      <c r="G27" s="7" t="n">
        <v>87</v>
      </c>
      <c r="H27" s="7" t="n">
        <v>7</v>
      </c>
      <c r="I27" s="7" t="n">
        <v>20</v>
      </c>
      <c r="J27" s="7" t="s">
        <v>153</v>
      </c>
      <c r="K27" s="7" t="n">
        <v>1</v>
      </c>
      <c r="L27" s="7" t="s">
        <v>215</v>
      </c>
      <c r="M27" s="7" t="s">
        <v>155</v>
      </c>
      <c r="N27" s="7" t="s">
        <v>216</v>
      </c>
    </row>
    <row r="28" customFormat="false" ht="15" hidden="false" customHeight="false" outlineLevel="0" collapsed="false">
      <c r="A28" s="7" t="s">
        <v>212</v>
      </c>
      <c r="B28" s="7" t="s">
        <v>213</v>
      </c>
      <c r="C28" s="7" t="s">
        <v>217</v>
      </c>
      <c r="D28" s="7" t="n">
        <v>1</v>
      </c>
      <c r="E28" s="7" t="s">
        <v>152</v>
      </c>
      <c r="F28" s="7" t="n">
        <v>8</v>
      </c>
      <c r="G28" s="7" t="n">
        <v>28</v>
      </c>
      <c r="H28" s="7" t="n">
        <v>7</v>
      </c>
      <c r="I28" s="7" t="n">
        <v>18</v>
      </c>
      <c r="J28" s="7" t="s">
        <v>153</v>
      </c>
      <c r="K28" s="7" t="n">
        <v>1</v>
      </c>
      <c r="L28" s="7" t="s">
        <v>215</v>
      </c>
      <c r="M28" s="7" t="s">
        <v>155</v>
      </c>
      <c r="N28" s="7" t="s">
        <v>218</v>
      </c>
    </row>
    <row r="29" customFormat="false" ht="15" hidden="false" customHeight="false" outlineLevel="0" collapsed="false">
      <c r="A29" s="7" t="s">
        <v>212</v>
      </c>
      <c r="B29" s="7" t="s">
        <v>213</v>
      </c>
      <c r="C29" s="7" t="s">
        <v>219</v>
      </c>
      <c r="D29" s="7" t="n">
        <v>1</v>
      </c>
      <c r="E29" s="7" t="s">
        <v>152</v>
      </c>
      <c r="F29" s="7" t="n">
        <v>22</v>
      </c>
      <c r="G29" s="7" t="n">
        <v>84</v>
      </c>
      <c r="H29" s="7" t="n">
        <v>8</v>
      </c>
      <c r="I29" s="7" t="n">
        <v>22</v>
      </c>
      <c r="J29" s="7" t="s">
        <v>153</v>
      </c>
      <c r="K29" s="7" t="n">
        <v>1</v>
      </c>
      <c r="L29" s="7" t="s">
        <v>160</v>
      </c>
      <c r="M29" s="7" t="s">
        <v>155</v>
      </c>
      <c r="N29" s="7" t="s">
        <v>220</v>
      </c>
    </row>
    <row r="30" customFormat="false" ht="15" hidden="false" customHeight="false" outlineLevel="0" collapsed="false">
      <c r="A30" s="7" t="s">
        <v>212</v>
      </c>
      <c r="B30" s="7" t="s">
        <v>213</v>
      </c>
      <c r="C30" s="7" t="s">
        <v>221</v>
      </c>
      <c r="D30" s="7" t="n">
        <v>1</v>
      </c>
      <c r="E30" s="7" t="s">
        <v>163</v>
      </c>
      <c r="F30" s="7" t="n">
        <v>22</v>
      </c>
      <c r="G30" s="7" t="n">
        <v>77</v>
      </c>
      <c r="H30" s="7" t="n">
        <v>8</v>
      </c>
      <c r="I30" s="7" t="n">
        <v>22</v>
      </c>
      <c r="J30" s="7" t="s">
        <v>153</v>
      </c>
      <c r="K30" s="7" t="n">
        <v>1</v>
      </c>
      <c r="L30" s="7" t="s">
        <v>160</v>
      </c>
      <c r="M30" s="7" t="s">
        <v>155</v>
      </c>
      <c r="N30" s="7" t="s">
        <v>222</v>
      </c>
    </row>
    <row r="31" customFormat="false" ht="15" hidden="false" customHeight="false" outlineLevel="0" collapsed="false">
      <c r="A31" s="7" t="s">
        <v>212</v>
      </c>
      <c r="B31" s="7" t="s">
        <v>213</v>
      </c>
      <c r="C31" s="7" t="s">
        <v>223</v>
      </c>
      <c r="D31" s="7" t="n">
        <v>1</v>
      </c>
      <c r="E31" s="7" t="s">
        <v>163</v>
      </c>
      <c r="F31" s="7" t="n">
        <v>11</v>
      </c>
      <c r="G31" s="7" t="n">
        <v>42</v>
      </c>
      <c r="H31" s="7" t="n">
        <v>7</v>
      </c>
      <c r="I31" s="7" t="n">
        <v>20</v>
      </c>
      <c r="J31" s="7" t="s">
        <v>153</v>
      </c>
      <c r="K31" s="7" t="n">
        <v>1</v>
      </c>
      <c r="L31" s="7" t="s">
        <v>166</v>
      </c>
      <c r="M31" s="7" t="s">
        <v>155</v>
      </c>
      <c r="N31" s="7" t="s">
        <v>224</v>
      </c>
    </row>
    <row r="32" customFormat="false" ht="15" hidden="false" customHeight="false" outlineLevel="0" collapsed="false">
      <c r="A32" s="7" t="s">
        <v>212</v>
      </c>
      <c r="B32" s="7" t="s">
        <v>213</v>
      </c>
      <c r="C32" s="7" t="s">
        <v>225</v>
      </c>
      <c r="D32" s="7" t="n">
        <v>1</v>
      </c>
      <c r="E32" s="7" t="s">
        <v>163</v>
      </c>
      <c r="F32" s="7" t="n">
        <v>5</v>
      </c>
      <c r="G32" s="7" t="n">
        <v>20</v>
      </c>
      <c r="H32" s="7" t="n">
        <v>6</v>
      </c>
      <c r="I32" s="7" t="n">
        <v>16</v>
      </c>
      <c r="J32" s="7" t="s">
        <v>169</v>
      </c>
      <c r="K32" s="7" t="n">
        <v>1</v>
      </c>
      <c r="L32" s="7" t="s">
        <v>170</v>
      </c>
      <c r="M32" s="7" t="s">
        <v>155</v>
      </c>
      <c r="N32" s="7" t="s">
        <v>171</v>
      </c>
    </row>
    <row r="33" customFormat="false" ht="15" hidden="false" customHeight="false" outlineLevel="0" collapsed="false">
      <c r="A33" s="7" t="s">
        <v>212</v>
      </c>
      <c r="B33" s="7" t="s">
        <v>213</v>
      </c>
      <c r="C33" s="7" t="s">
        <v>226</v>
      </c>
      <c r="D33" s="7" t="n">
        <v>1</v>
      </c>
      <c r="E33" s="7" t="s">
        <v>163</v>
      </c>
      <c r="F33" s="7" t="n">
        <v>5</v>
      </c>
      <c r="G33" s="7" t="n">
        <v>20</v>
      </c>
      <c r="H33" s="7" t="n">
        <v>6</v>
      </c>
      <c r="I33" s="7" t="n">
        <v>16</v>
      </c>
      <c r="J33" s="7" t="s">
        <v>169</v>
      </c>
      <c r="K33" s="7" t="n">
        <v>1</v>
      </c>
      <c r="L33" s="7" t="s">
        <v>170</v>
      </c>
      <c r="M33" s="7" t="s">
        <v>155</v>
      </c>
      <c r="N33" s="7" t="s">
        <v>171</v>
      </c>
    </row>
    <row r="34" customFormat="false" ht="15" hidden="false" customHeight="false" outlineLevel="0" collapsed="false">
      <c r="A34" s="7" t="s">
        <v>212</v>
      </c>
      <c r="B34" s="7" t="s">
        <v>213</v>
      </c>
      <c r="C34" s="7" t="s">
        <v>227</v>
      </c>
      <c r="D34" s="7" t="n">
        <v>1</v>
      </c>
      <c r="E34" s="7" t="s">
        <v>163</v>
      </c>
      <c r="F34" s="7" t="n">
        <v>5</v>
      </c>
      <c r="G34" s="7" t="n">
        <v>20</v>
      </c>
      <c r="H34" s="7" t="n">
        <v>6</v>
      </c>
      <c r="I34" s="7" t="n">
        <v>16</v>
      </c>
      <c r="J34" s="7" t="s">
        <v>169</v>
      </c>
      <c r="K34" s="7" t="n">
        <v>1</v>
      </c>
      <c r="L34" s="7" t="s">
        <v>170</v>
      </c>
      <c r="M34" s="7" t="s">
        <v>155</v>
      </c>
      <c r="N34" s="7" t="s">
        <v>171</v>
      </c>
    </row>
    <row r="35" customFormat="false" ht="15" hidden="false" customHeight="false" outlineLevel="0" collapsed="false">
      <c r="A35" s="7" t="s">
        <v>212</v>
      </c>
      <c r="B35" s="7" t="s">
        <v>213</v>
      </c>
      <c r="C35" s="7" t="s">
        <v>228</v>
      </c>
      <c r="D35" s="7" t="n">
        <v>1</v>
      </c>
      <c r="E35" s="7" t="s">
        <v>163</v>
      </c>
      <c r="F35" s="7" t="n">
        <v>10</v>
      </c>
      <c r="G35" s="7" t="n">
        <v>60</v>
      </c>
      <c r="H35" s="7" t="n">
        <v>7</v>
      </c>
      <c r="I35" s="7" t="n">
        <v>18</v>
      </c>
      <c r="J35" s="7" t="s">
        <v>153</v>
      </c>
      <c r="K35" s="7" t="n">
        <v>1</v>
      </c>
      <c r="L35" s="7" t="s">
        <v>170</v>
      </c>
      <c r="M35" s="7" t="s">
        <v>155</v>
      </c>
      <c r="N35" s="7" t="s">
        <v>175</v>
      </c>
    </row>
    <row r="36" customFormat="false" ht="15" hidden="false" customHeight="false" outlineLevel="0" collapsed="false">
      <c r="A36" s="7" t="s">
        <v>212</v>
      </c>
      <c r="B36" s="7" t="s">
        <v>213</v>
      </c>
      <c r="C36" s="7" t="s">
        <v>229</v>
      </c>
      <c r="D36" s="7" t="n">
        <v>1</v>
      </c>
      <c r="E36" s="7" t="s">
        <v>163</v>
      </c>
      <c r="F36" s="7" t="n">
        <v>22</v>
      </c>
      <c r="G36" s="7" t="n">
        <v>70</v>
      </c>
      <c r="H36" s="7" t="n">
        <v>5</v>
      </c>
      <c r="I36" s="7" t="n">
        <v>12</v>
      </c>
      <c r="J36" s="7" t="s">
        <v>169</v>
      </c>
      <c r="K36" s="7" t="n">
        <v>2</v>
      </c>
      <c r="L36" s="7" t="s">
        <v>166</v>
      </c>
      <c r="M36" s="7" t="s">
        <v>155</v>
      </c>
      <c r="N36" s="7" t="s">
        <v>230</v>
      </c>
    </row>
    <row r="37" customFormat="false" ht="15" hidden="false" customHeight="false" outlineLevel="0" collapsed="false">
      <c r="A37" s="7" t="s">
        <v>212</v>
      </c>
      <c r="B37" s="7" t="s">
        <v>213</v>
      </c>
      <c r="C37" s="7" t="s">
        <v>231</v>
      </c>
      <c r="D37" s="7" t="n">
        <v>1</v>
      </c>
      <c r="E37" s="7" t="s">
        <v>163</v>
      </c>
      <c r="F37" s="7" t="n">
        <v>16</v>
      </c>
      <c r="G37" s="7" t="n">
        <v>56</v>
      </c>
      <c r="H37" s="7" t="n">
        <v>5</v>
      </c>
      <c r="I37" s="7" t="n">
        <v>12</v>
      </c>
      <c r="J37" s="7" t="s">
        <v>169</v>
      </c>
      <c r="K37" s="7" t="n">
        <v>2</v>
      </c>
      <c r="L37" s="7" t="s">
        <v>166</v>
      </c>
      <c r="M37" s="7" t="s">
        <v>155</v>
      </c>
      <c r="N37" s="7" t="s">
        <v>232</v>
      </c>
    </row>
    <row r="38" customFormat="false" ht="15" hidden="false" customHeight="false" outlineLevel="0" collapsed="false">
      <c r="A38" s="7" t="s">
        <v>212</v>
      </c>
      <c r="B38" s="7" t="s">
        <v>213</v>
      </c>
      <c r="C38" s="7" t="s">
        <v>233</v>
      </c>
      <c r="D38" s="7" t="n">
        <v>2</v>
      </c>
      <c r="E38" s="7" t="s">
        <v>163</v>
      </c>
      <c r="F38" s="7" t="n">
        <v>550</v>
      </c>
      <c r="G38" s="7" t="n">
        <v>1700</v>
      </c>
      <c r="H38" s="7" t="n">
        <v>5</v>
      </c>
      <c r="I38" s="7" t="n">
        <v>14</v>
      </c>
      <c r="J38" s="7" t="s">
        <v>153</v>
      </c>
      <c r="K38" s="7" t="n">
        <v>2</v>
      </c>
      <c r="L38" s="7" t="s">
        <v>234</v>
      </c>
      <c r="M38" s="7" t="s">
        <v>155</v>
      </c>
      <c r="N38" s="7" t="s">
        <v>235</v>
      </c>
    </row>
    <row r="39" customFormat="false" ht="15" hidden="false" customHeight="false" outlineLevel="0" collapsed="false">
      <c r="A39" s="7" t="s">
        <v>212</v>
      </c>
      <c r="B39" s="7" t="s">
        <v>213</v>
      </c>
      <c r="C39" s="7" t="s">
        <v>236</v>
      </c>
      <c r="D39" s="7" t="n">
        <v>2</v>
      </c>
      <c r="E39" s="7" t="s">
        <v>152</v>
      </c>
      <c r="F39" s="7" t="n">
        <v>99</v>
      </c>
      <c r="G39" s="7" t="n">
        <v>240</v>
      </c>
      <c r="H39" s="7" t="n">
        <v>6</v>
      </c>
      <c r="I39" s="7" t="n">
        <v>15</v>
      </c>
      <c r="J39" s="7" t="s">
        <v>153</v>
      </c>
      <c r="K39" s="7" t="n">
        <v>1</v>
      </c>
      <c r="L39" s="7" t="s">
        <v>237</v>
      </c>
      <c r="M39" s="7" t="s">
        <v>169</v>
      </c>
      <c r="N39" s="7" t="s">
        <v>238</v>
      </c>
    </row>
    <row r="40" customFormat="false" ht="15" hidden="false" customHeight="false" outlineLevel="0" collapsed="false">
      <c r="A40" s="7" t="s">
        <v>212</v>
      </c>
      <c r="B40" s="7" t="s">
        <v>213</v>
      </c>
      <c r="C40" s="7" t="s">
        <v>239</v>
      </c>
      <c r="D40" s="7" t="n">
        <v>2</v>
      </c>
      <c r="E40" s="7" t="s">
        <v>163</v>
      </c>
      <c r="F40" s="7" t="n">
        <v>88</v>
      </c>
      <c r="G40" s="7" t="n">
        <v>250</v>
      </c>
      <c r="H40" s="7" t="n">
        <v>6</v>
      </c>
      <c r="I40" s="7" t="n">
        <v>15</v>
      </c>
      <c r="J40" s="7" t="s">
        <v>153</v>
      </c>
      <c r="K40" s="7" t="n">
        <v>2</v>
      </c>
      <c r="L40" s="7" t="s">
        <v>187</v>
      </c>
      <c r="M40" s="7" t="s">
        <v>155</v>
      </c>
      <c r="N40" s="7" t="s">
        <v>240</v>
      </c>
    </row>
    <row r="41" customFormat="false" ht="15" hidden="false" customHeight="false" outlineLevel="0" collapsed="false">
      <c r="A41" s="7" t="s">
        <v>212</v>
      </c>
      <c r="B41" s="7" t="s">
        <v>213</v>
      </c>
      <c r="C41" s="7" t="s">
        <v>241</v>
      </c>
      <c r="D41" s="7" t="n">
        <v>2</v>
      </c>
      <c r="E41" s="7" t="s">
        <v>152</v>
      </c>
      <c r="F41" s="7" t="n">
        <v>33</v>
      </c>
      <c r="G41" s="7" t="n">
        <v>110</v>
      </c>
      <c r="H41" s="7" t="n">
        <v>6</v>
      </c>
      <c r="I41" s="7" t="n">
        <v>16</v>
      </c>
      <c r="J41" s="7" t="s">
        <v>153</v>
      </c>
      <c r="K41" s="7" t="n">
        <v>1</v>
      </c>
      <c r="L41" s="7" t="s">
        <v>194</v>
      </c>
      <c r="M41" s="7" t="s">
        <v>155</v>
      </c>
      <c r="N41" s="7" t="s">
        <v>242</v>
      </c>
    </row>
    <row r="42" customFormat="false" ht="15" hidden="false" customHeight="false" outlineLevel="0" collapsed="false">
      <c r="A42" s="7" t="s">
        <v>212</v>
      </c>
      <c r="B42" s="7" t="s">
        <v>213</v>
      </c>
      <c r="C42" s="7" t="s">
        <v>243</v>
      </c>
      <c r="D42" s="7" t="n">
        <v>2</v>
      </c>
      <c r="E42" s="7" t="s">
        <v>163</v>
      </c>
      <c r="F42" s="7" t="n">
        <v>9</v>
      </c>
      <c r="G42" s="7" t="n">
        <v>35</v>
      </c>
      <c r="H42" s="7" t="n">
        <v>6</v>
      </c>
      <c r="I42" s="7" t="n">
        <v>16</v>
      </c>
      <c r="J42" s="7" t="s">
        <v>153</v>
      </c>
      <c r="K42" s="7" t="n">
        <v>1</v>
      </c>
      <c r="L42" s="7" t="s">
        <v>194</v>
      </c>
      <c r="M42" s="7" t="s">
        <v>155</v>
      </c>
      <c r="N42" s="7" t="s">
        <v>244</v>
      </c>
    </row>
    <row r="43" customFormat="false" ht="15" hidden="false" customHeight="false" outlineLevel="0" collapsed="false">
      <c r="A43" s="7" t="s">
        <v>212</v>
      </c>
      <c r="B43" s="7" t="s">
        <v>213</v>
      </c>
      <c r="C43" s="7" t="s">
        <v>245</v>
      </c>
      <c r="D43" s="7" t="n">
        <v>2</v>
      </c>
      <c r="E43" s="7" t="s">
        <v>163</v>
      </c>
      <c r="F43" s="7" t="n">
        <v>16</v>
      </c>
      <c r="G43" s="7" t="n">
        <v>56</v>
      </c>
      <c r="H43" s="7" t="n">
        <v>6</v>
      </c>
      <c r="I43" s="7" t="n">
        <v>16</v>
      </c>
      <c r="J43" s="7" t="s">
        <v>153</v>
      </c>
      <c r="K43" s="7" t="n">
        <v>2</v>
      </c>
      <c r="L43" s="7" t="s">
        <v>194</v>
      </c>
      <c r="M43" s="7" t="s">
        <v>155</v>
      </c>
      <c r="N43" s="7" t="s">
        <v>246</v>
      </c>
    </row>
    <row r="44" customFormat="false" ht="15" hidden="false" customHeight="false" outlineLevel="0" collapsed="false">
      <c r="A44" s="7" t="s">
        <v>212</v>
      </c>
      <c r="B44" s="7" t="s">
        <v>213</v>
      </c>
      <c r="C44" s="7" t="s">
        <v>247</v>
      </c>
      <c r="D44" s="7" t="n">
        <v>2</v>
      </c>
      <c r="E44" s="7" t="s">
        <v>163</v>
      </c>
      <c r="F44" s="7" t="n">
        <v>55</v>
      </c>
      <c r="G44" s="7" t="n">
        <v>170</v>
      </c>
      <c r="H44" s="7" t="n">
        <v>6</v>
      </c>
      <c r="I44" s="7" t="n">
        <v>15</v>
      </c>
      <c r="J44" s="7" t="s">
        <v>153</v>
      </c>
      <c r="K44" s="7" t="n">
        <v>2</v>
      </c>
      <c r="L44" s="7" t="s">
        <v>187</v>
      </c>
      <c r="M44" s="7" t="s">
        <v>155</v>
      </c>
      <c r="N44" s="7" t="s">
        <v>248</v>
      </c>
    </row>
    <row r="45" customFormat="false" ht="15" hidden="false" customHeight="false" outlineLevel="0" collapsed="false">
      <c r="A45" s="7" t="s">
        <v>212</v>
      </c>
      <c r="B45" s="7" t="s">
        <v>213</v>
      </c>
      <c r="C45" s="7" t="s">
        <v>249</v>
      </c>
      <c r="D45" s="7" t="n">
        <v>2</v>
      </c>
      <c r="E45" s="7" t="s">
        <v>163</v>
      </c>
      <c r="F45" s="7" t="n">
        <v>7</v>
      </c>
      <c r="G45" s="7" t="n">
        <v>28</v>
      </c>
      <c r="H45" s="7" t="n">
        <v>6</v>
      </c>
      <c r="I45" s="7" t="n">
        <v>15</v>
      </c>
      <c r="J45" s="7" t="s">
        <v>169</v>
      </c>
      <c r="K45" s="7" t="n">
        <v>2</v>
      </c>
      <c r="L45" s="7" t="s">
        <v>187</v>
      </c>
      <c r="M45" s="7" t="s">
        <v>155</v>
      </c>
      <c r="N45" s="7" t="s">
        <v>250</v>
      </c>
    </row>
    <row r="46" customFormat="false" ht="15" hidden="false" customHeight="false" outlineLevel="0" collapsed="false">
      <c r="A46" s="7" t="s">
        <v>212</v>
      </c>
      <c r="B46" s="7" t="s">
        <v>213</v>
      </c>
      <c r="C46" s="7" t="s">
        <v>251</v>
      </c>
      <c r="D46" s="7" t="n">
        <v>2</v>
      </c>
      <c r="E46" s="7" t="s">
        <v>152</v>
      </c>
      <c r="F46" s="7" t="n">
        <v>28</v>
      </c>
      <c r="G46" s="7" t="n">
        <v>98</v>
      </c>
      <c r="H46" s="7" t="n">
        <v>7</v>
      </c>
      <c r="I46" s="7" t="n">
        <v>18</v>
      </c>
      <c r="J46" s="7" t="s">
        <v>153</v>
      </c>
      <c r="K46" s="7" t="n">
        <v>1</v>
      </c>
      <c r="L46" s="7" t="s">
        <v>160</v>
      </c>
      <c r="M46" s="7" t="s">
        <v>155</v>
      </c>
      <c r="N46" s="7" t="s">
        <v>252</v>
      </c>
    </row>
    <row r="47" customFormat="false" ht="15" hidden="false" customHeight="false" outlineLevel="0" collapsed="false">
      <c r="A47" s="7" t="s">
        <v>212</v>
      </c>
      <c r="B47" s="7" t="s">
        <v>213</v>
      </c>
      <c r="C47" s="7" t="s">
        <v>253</v>
      </c>
      <c r="D47" s="7" t="n">
        <v>2</v>
      </c>
      <c r="E47" s="7" t="s">
        <v>163</v>
      </c>
      <c r="F47" s="7" t="n">
        <v>10</v>
      </c>
      <c r="G47" s="7" t="n">
        <v>60</v>
      </c>
      <c r="H47" s="7" t="n">
        <v>6</v>
      </c>
      <c r="I47" s="7" t="n">
        <v>15</v>
      </c>
      <c r="J47" s="7" t="s">
        <v>153</v>
      </c>
      <c r="K47" s="7" t="n">
        <v>2</v>
      </c>
      <c r="L47" s="7" t="s">
        <v>170</v>
      </c>
      <c r="M47" s="7" t="s">
        <v>155</v>
      </c>
      <c r="N47" s="7" t="s">
        <v>175</v>
      </c>
    </row>
    <row r="48" customFormat="false" ht="15" hidden="false" customHeight="false" outlineLevel="0" collapsed="false">
      <c r="A48" s="7" t="s">
        <v>212</v>
      </c>
      <c r="B48" s="7" t="s">
        <v>213</v>
      </c>
      <c r="C48" s="7" t="s">
        <v>254</v>
      </c>
      <c r="D48" s="7" t="n">
        <v>3</v>
      </c>
      <c r="E48" s="7" t="s">
        <v>202</v>
      </c>
      <c r="F48" s="7" t="n">
        <v>44</v>
      </c>
      <c r="G48" s="7" t="n">
        <v>140</v>
      </c>
      <c r="H48" s="7" t="n">
        <v>3</v>
      </c>
      <c r="I48" s="7" t="n">
        <v>8</v>
      </c>
      <c r="J48" s="7" t="s">
        <v>169</v>
      </c>
      <c r="K48" s="7" t="n">
        <v>2</v>
      </c>
      <c r="L48" s="7" t="s">
        <v>187</v>
      </c>
      <c r="M48" s="7" t="s">
        <v>155</v>
      </c>
      <c r="N48" s="7" t="s">
        <v>255</v>
      </c>
    </row>
    <row r="49" customFormat="false" ht="15" hidden="false" customHeight="false" outlineLevel="0" collapsed="false">
      <c r="A49" s="7" t="s">
        <v>212</v>
      </c>
      <c r="B49" s="7" t="s">
        <v>213</v>
      </c>
      <c r="C49" s="7" t="s">
        <v>256</v>
      </c>
      <c r="D49" s="7" t="n">
        <v>3</v>
      </c>
      <c r="E49" s="7" t="s">
        <v>202</v>
      </c>
      <c r="F49" s="7" t="n">
        <v>7</v>
      </c>
      <c r="G49" s="7" t="n">
        <v>28</v>
      </c>
      <c r="H49" s="7" t="n">
        <v>3</v>
      </c>
      <c r="I49" s="7" t="n">
        <v>8</v>
      </c>
      <c r="J49" s="7" t="s">
        <v>169</v>
      </c>
      <c r="K49" s="7" t="n">
        <v>2</v>
      </c>
      <c r="L49" s="7" t="s">
        <v>187</v>
      </c>
      <c r="M49" s="7" t="s">
        <v>155</v>
      </c>
      <c r="N49" s="7" t="s">
        <v>257</v>
      </c>
    </row>
    <row r="50" customFormat="false" ht="15" hidden="false" customHeight="false" outlineLevel="0" collapsed="false">
      <c r="A50" s="7" t="s">
        <v>212</v>
      </c>
      <c r="B50" s="7" t="s">
        <v>213</v>
      </c>
      <c r="C50" s="7" t="s">
        <v>258</v>
      </c>
      <c r="D50" s="7" t="n">
        <v>3</v>
      </c>
      <c r="E50" s="7" t="s">
        <v>202</v>
      </c>
      <c r="F50" s="7" t="n">
        <v>160</v>
      </c>
      <c r="G50" s="7" t="n">
        <v>490</v>
      </c>
      <c r="H50" s="7" t="n">
        <v>3</v>
      </c>
      <c r="I50" s="7" t="n">
        <v>7</v>
      </c>
      <c r="J50" s="7" t="s">
        <v>169</v>
      </c>
      <c r="K50" s="7" t="n">
        <v>3</v>
      </c>
      <c r="L50" s="7" t="s">
        <v>187</v>
      </c>
      <c r="M50" s="7" t="s">
        <v>155</v>
      </c>
      <c r="N50" s="7" t="s">
        <v>259</v>
      </c>
    </row>
    <row r="51" customFormat="false" ht="15" hidden="false" customHeight="false" outlineLevel="0" collapsed="false">
      <c r="A51" s="7" t="s">
        <v>212</v>
      </c>
      <c r="B51" s="7" t="s">
        <v>213</v>
      </c>
      <c r="C51" s="7" t="s">
        <v>260</v>
      </c>
      <c r="D51" s="7" t="n">
        <v>3</v>
      </c>
      <c r="E51" s="7" t="s">
        <v>202</v>
      </c>
      <c r="F51" s="7" t="n">
        <v>55</v>
      </c>
      <c r="G51" s="7" t="n">
        <v>170</v>
      </c>
      <c r="H51" s="7" t="n">
        <v>3</v>
      </c>
      <c r="I51" s="7" t="n">
        <v>7</v>
      </c>
      <c r="J51" s="7" t="s">
        <v>169</v>
      </c>
      <c r="K51" s="7" t="n">
        <v>3</v>
      </c>
      <c r="L51" s="7" t="s">
        <v>187</v>
      </c>
      <c r="M51" s="7" t="s">
        <v>155</v>
      </c>
      <c r="N51" s="7" t="s">
        <v>261</v>
      </c>
    </row>
    <row r="52" customFormat="false" ht="15" hidden="false" customHeight="false" outlineLevel="0" collapsed="false">
      <c r="A52" s="7" t="s">
        <v>212</v>
      </c>
      <c r="B52" s="7" t="s">
        <v>213</v>
      </c>
      <c r="C52" s="7" t="s">
        <v>262</v>
      </c>
      <c r="D52" s="7" t="n">
        <v>3</v>
      </c>
      <c r="E52" s="7" t="s">
        <v>202</v>
      </c>
      <c r="F52" s="7" t="n">
        <v>44</v>
      </c>
      <c r="G52" s="7" t="n">
        <v>140</v>
      </c>
      <c r="H52" s="7" t="n">
        <v>4</v>
      </c>
      <c r="I52" s="7" t="n">
        <v>10</v>
      </c>
      <c r="J52" s="7" t="s">
        <v>169</v>
      </c>
      <c r="K52" s="7" t="n">
        <v>3</v>
      </c>
      <c r="L52" s="7" t="s">
        <v>187</v>
      </c>
      <c r="M52" s="7" t="s">
        <v>155</v>
      </c>
      <c r="N52" s="7" t="s">
        <v>263</v>
      </c>
    </row>
    <row r="53" customFormat="false" ht="15" hidden="false" customHeight="false" outlineLevel="0" collapsed="false">
      <c r="A53" s="7" t="s">
        <v>212</v>
      </c>
      <c r="B53" s="7" t="s">
        <v>213</v>
      </c>
      <c r="C53" s="7" t="s">
        <v>264</v>
      </c>
      <c r="D53" s="7" t="n">
        <v>3</v>
      </c>
      <c r="E53" s="7" t="s">
        <v>202</v>
      </c>
      <c r="F53" s="7" t="n">
        <v>66</v>
      </c>
      <c r="G53" s="7" t="n">
        <v>210</v>
      </c>
      <c r="H53" s="7" t="n">
        <v>2</v>
      </c>
      <c r="I53" s="7" t="n">
        <v>6</v>
      </c>
      <c r="J53" s="7" t="s">
        <v>155</v>
      </c>
      <c r="K53" s="7" t="n">
        <v>3</v>
      </c>
      <c r="L53" s="7" t="s">
        <v>187</v>
      </c>
      <c r="M53" s="7" t="s">
        <v>155</v>
      </c>
      <c r="N53" s="7" t="s">
        <v>265</v>
      </c>
    </row>
    <row r="54" customFormat="false" ht="15" hidden="false" customHeight="false" outlineLevel="0" collapsed="false">
      <c r="A54" s="7" t="s">
        <v>266</v>
      </c>
      <c r="B54" s="7" t="s">
        <v>267</v>
      </c>
      <c r="C54" s="7" t="s">
        <v>268</v>
      </c>
      <c r="D54" s="7" t="n">
        <v>1</v>
      </c>
      <c r="E54" s="7" t="s">
        <v>152</v>
      </c>
      <c r="F54" s="7" t="n">
        <v>1</v>
      </c>
      <c r="G54" s="7" t="n">
        <v>6</v>
      </c>
      <c r="H54" s="7" t="n">
        <v>5</v>
      </c>
      <c r="I54" s="7" t="n">
        <v>14</v>
      </c>
      <c r="J54" s="7" t="s">
        <v>169</v>
      </c>
      <c r="K54" s="7" t="n">
        <v>1</v>
      </c>
      <c r="L54" s="7" t="s">
        <v>269</v>
      </c>
      <c r="M54" s="7" t="s">
        <v>155</v>
      </c>
      <c r="N54" s="7" t="s">
        <v>270</v>
      </c>
    </row>
    <row r="55" customFormat="false" ht="15" hidden="false" customHeight="false" outlineLevel="0" collapsed="false">
      <c r="A55" s="7" t="s">
        <v>266</v>
      </c>
      <c r="B55" s="7" t="s">
        <v>267</v>
      </c>
      <c r="C55" s="7" t="s">
        <v>271</v>
      </c>
      <c r="D55" s="7" t="n">
        <v>1</v>
      </c>
      <c r="E55" s="7" t="s">
        <v>152</v>
      </c>
      <c r="F55" s="7" t="n">
        <v>1</v>
      </c>
      <c r="G55" s="7" t="n">
        <v>2</v>
      </c>
      <c r="H55" s="7" t="n">
        <v>5</v>
      </c>
      <c r="I55" s="7" t="n">
        <v>12</v>
      </c>
      <c r="J55" s="7" t="s">
        <v>155</v>
      </c>
      <c r="K55" s="7" t="n">
        <v>1</v>
      </c>
      <c r="L55" s="7" t="s">
        <v>269</v>
      </c>
      <c r="M55" s="7" t="s">
        <v>155</v>
      </c>
      <c r="N55" s="7" t="s">
        <v>272</v>
      </c>
    </row>
    <row r="56" customFormat="false" ht="15" hidden="false" customHeight="false" outlineLevel="0" collapsed="false">
      <c r="A56" s="7" t="s">
        <v>266</v>
      </c>
      <c r="B56" s="7" t="s">
        <v>267</v>
      </c>
      <c r="C56" s="7" t="s">
        <v>273</v>
      </c>
      <c r="D56" s="7" t="n">
        <v>1</v>
      </c>
      <c r="E56" s="7" t="s">
        <v>163</v>
      </c>
      <c r="F56" s="7" t="n">
        <v>1</v>
      </c>
      <c r="G56" s="7" t="n">
        <v>3</v>
      </c>
      <c r="H56" s="7" t="n">
        <v>5</v>
      </c>
      <c r="I56" s="7" t="n">
        <v>12</v>
      </c>
      <c r="J56" s="7" t="s">
        <v>155</v>
      </c>
      <c r="K56" s="7" t="n">
        <v>2</v>
      </c>
      <c r="L56" s="7" t="s">
        <v>269</v>
      </c>
      <c r="M56" s="7" t="s">
        <v>155</v>
      </c>
      <c r="N56" s="7" t="s">
        <v>274</v>
      </c>
    </row>
    <row r="57" customFormat="false" ht="15" hidden="false" customHeight="false" outlineLevel="0" collapsed="false">
      <c r="A57" s="7" t="s">
        <v>266</v>
      </c>
      <c r="B57" s="7" t="s">
        <v>267</v>
      </c>
      <c r="C57" s="7" t="s">
        <v>275</v>
      </c>
      <c r="D57" s="7" t="n">
        <v>1</v>
      </c>
      <c r="E57" s="7" t="s">
        <v>152</v>
      </c>
      <c r="F57" s="7" t="n">
        <v>1</v>
      </c>
      <c r="G57" s="7" t="n">
        <v>3</v>
      </c>
      <c r="H57" s="7" t="n">
        <v>5</v>
      </c>
      <c r="I57" s="7" t="n">
        <v>14</v>
      </c>
      <c r="J57" s="7" t="s">
        <v>169</v>
      </c>
      <c r="K57" s="7" t="n">
        <v>1</v>
      </c>
      <c r="L57" s="7" t="s">
        <v>269</v>
      </c>
      <c r="M57" s="7" t="s">
        <v>155</v>
      </c>
      <c r="N57" s="7" t="s">
        <v>276</v>
      </c>
    </row>
    <row r="58" customFormat="false" ht="15" hidden="false" customHeight="false" outlineLevel="0" collapsed="false">
      <c r="A58" s="7" t="s">
        <v>266</v>
      </c>
      <c r="B58" s="7" t="s">
        <v>267</v>
      </c>
      <c r="C58" s="7" t="s">
        <v>277</v>
      </c>
      <c r="D58" s="7" t="n">
        <v>1</v>
      </c>
      <c r="E58" s="7" t="s">
        <v>152</v>
      </c>
      <c r="F58" s="7" t="n">
        <v>2</v>
      </c>
      <c r="G58" s="7" t="n">
        <v>8</v>
      </c>
      <c r="H58" s="7" t="n">
        <v>6</v>
      </c>
      <c r="I58" s="7" t="n">
        <v>15</v>
      </c>
      <c r="J58" s="7" t="s">
        <v>169</v>
      </c>
      <c r="K58" s="7" t="n">
        <v>1</v>
      </c>
      <c r="L58" s="7" t="s">
        <v>269</v>
      </c>
      <c r="M58" s="7" t="s">
        <v>155</v>
      </c>
      <c r="N58" s="7" t="s">
        <v>278</v>
      </c>
    </row>
    <row r="59" customFormat="false" ht="15" hidden="false" customHeight="false" outlineLevel="0" collapsed="false">
      <c r="A59" s="7" t="s">
        <v>266</v>
      </c>
      <c r="B59" s="7" t="s">
        <v>267</v>
      </c>
      <c r="C59" s="7" t="s">
        <v>279</v>
      </c>
      <c r="D59" s="7" t="n">
        <v>1</v>
      </c>
      <c r="E59" s="7" t="s">
        <v>163</v>
      </c>
      <c r="F59" s="7" t="n">
        <v>2</v>
      </c>
      <c r="G59" s="7" t="n">
        <v>7</v>
      </c>
      <c r="H59" s="7" t="n">
        <v>6</v>
      </c>
      <c r="I59" s="7" t="n">
        <v>15</v>
      </c>
      <c r="J59" s="7" t="s">
        <v>169</v>
      </c>
      <c r="K59" s="7" t="n">
        <v>1</v>
      </c>
      <c r="L59" s="7" t="s">
        <v>269</v>
      </c>
      <c r="M59" s="7" t="s">
        <v>155</v>
      </c>
      <c r="N59" s="7" t="s">
        <v>280</v>
      </c>
    </row>
    <row r="60" customFormat="false" ht="15" hidden="false" customHeight="false" outlineLevel="0" collapsed="false">
      <c r="A60" s="7" t="s">
        <v>266</v>
      </c>
      <c r="B60" s="7" t="s">
        <v>267</v>
      </c>
      <c r="C60" s="7" t="s">
        <v>281</v>
      </c>
      <c r="D60" s="7" t="n">
        <v>1</v>
      </c>
      <c r="E60" s="7" t="s">
        <v>152</v>
      </c>
      <c r="F60" s="7" t="n">
        <v>1</v>
      </c>
      <c r="G60" s="7" t="n">
        <v>6</v>
      </c>
      <c r="H60" s="7" t="n">
        <v>5</v>
      </c>
      <c r="I60" s="7" t="n">
        <v>14</v>
      </c>
      <c r="J60" s="7" t="s">
        <v>169</v>
      </c>
      <c r="K60" s="7" t="n">
        <v>1</v>
      </c>
      <c r="L60" s="7" t="s">
        <v>269</v>
      </c>
      <c r="M60" s="7" t="s">
        <v>155</v>
      </c>
      <c r="N60" s="7" t="s">
        <v>282</v>
      </c>
    </row>
    <row r="61" customFormat="false" ht="15" hidden="false" customHeight="false" outlineLevel="0" collapsed="false">
      <c r="A61" s="7" t="s">
        <v>266</v>
      </c>
      <c r="B61" s="7" t="s">
        <v>267</v>
      </c>
      <c r="C61" s="7" t="s">
        <v>283</v>
      </c>
      <c r="D61" s="7" t="n">
        <v>1</v>
      </c>
      <c r="E61" s="7" t="s">
        <v>163</v>
      </c>
      <c r="F61" s="7" t="n">
        <v>2</v>
      </c>
      <c r="G61" s="7" t="n">
        <v>7</v>
      </c>
      <c r="H61" s="7" t="n">
        <v>6</v>
      </c>
      <c r="I61" s="7" t="n">
        <v>15</v>
      </c>
      <c r="J61" s="7" t="s">
        <v>169</v>
      </c>
      <c r="K61" s="7" t="n">
        <v>1</v>
      </c>
      <c r="L61" s="7" t="s">
        <v>269</v>
      </c>
      <c r="M61" s="7" t="s">
        <v>155</v>
      </c>
      <c r="N61" s="7" t="s">
        <v>284</v>
      </c>
    </row>
    <row r="62" customFormat="false" ht="15" hidden="false" customHeight="false" outlineLevel="0" collapsed="false">
      <c r="A62" s="7" t="s">
        <v>266</v>
      </c>
      <c r="B62" s="7" t="s">
        <v>267</v>
      </c>
      <c r="C62" s="7" t="s">
        <v>285</v>
      </c>
      <c r="D62" s="7" t="n">
        <v>1</v>
      </c>
      <c r="E62" s="7" t="s">
        <v>163</v>
      </c>
      <c r="F62" s="7" t="n">
        <v>5</v>
      </c>
      <c r="G62" s="7" t="n">
        <v>30</v>
      </c>
      <c r="H62" s="7" t="n">
        <v>5</v>
      </c>
      <c r="I62" s="7" t="n">
        <v>14</v>
      </c>
      <c r="J62" s="7" t="s">
        <v>155</v>
      </c>
      <c r="K62" s="7" t="n">
        <v>1</v>
      </c>
      <c r="L62" s="7" t="s">
        <v>170</v>
      </c>
      <c r="M62" s="7" t="s">
        <v>155</v>
      </c>
      <c r="N62" s="7" t="s">
        <v>286</v>
      </c>
    </row>
    <row r="63" customFormat="false" ht="15" hidden="false" customHeight="false" outlineLevel="0" collapsed="false">
      <c r="A63" s="7" t="s">
        <v>266</v>
      </c>
      <c r="B63" s="7" t="s">
        <v>267</v>
      </c>
      <c r="C63" s="7" t="s">
        <v>287</v>
      </c>
      <c r="D63" s="7" t="n">
        <v>1</v>
      </c>
      <c r="E63" s="7" t="s">
        <v>163</v>
      </c>
      <c r="F63" s="7" t="n">
        <v>5</v>
      </c>
      <c r="G63" s="7" t="n">
        <v>20</v>
      </c>
      <c r="H63" s="7" t="n">
        <v>5</v>
      </c>
      <c r="I63" s="7" t="n">
        <v>12</v>
      </c>
      <c r="J63" s="7" t="s">
        <v>155</v>
      </c>
      <c r="K63" s="7" t="n">
        <v>2</v>
      </c>
      <c r="L63" s="7" t="s">
        <v>170</v>
      </c>
      <c r="M63" s="7" t="s">
        <v>155</v>
      </c>
      <c r="N63" s="7" t="s">
        <v>288</v>
      </c>
    </row>
    <row r="64" customFormat="false" ht="15" hidden="false" customHeight="false" outlineLevel="0" collapsed="false">
      <c r="A64" s="7" t="s">
        <v>266</v>
      </c>
      <c r="B64" s="7" t="s">
        <v>267</v>
      </c>
      <c r="C64" s="7" t="s">
        <v>289</v>
      </c>
      <c r="D64" s="7" t="n">
        <v>2</v>
      </c>
      <c r="E64" s="7" t="s">
        <v>163</v>
      </c>
      <c r="F64" s="7" t="n">
        <v>55</v>
      </c>
      <c r="G64" s="7" t="n">
        <v>170</v>
      </c>
      <c r="H64" s="7" t="n">
        <v>5</v>
      </c>
      <c r="I64" s="7" t="n">
        <v>12</v>
      </c>
      <c r="J64" s="7" t="s">
        <v>169</v>
      </c>
      <c r="K64" s="7" t="n">
        <v>1</v>
      </c>
      <c r="L64" s="7" t="s">
        <v>269</v>
      </c>
      <c r="M64" s="7" t="s">
        <v>155</v>
      </c>
      <c r="N64" s="7" t="s">
        <v>290</v>
      </c>
    </row>
    <row r="65" customFormat="false" ht="15" hidden="false" customHeight="false" outlineLevel="0" collapsed="false">
      <c r="A65" s="7" t="s">
        <v>266</v>
      </c>
      <c r="B65" s="7" t="s">
        <v>267</v>
      </c>
      <c r="C65" s="7" t="s">
        <v>291</v>
      </c>
      <c r="D65" s="7" t="n">
        <v>2</v>
      </c>
      <c r="E65" s="7" t="s">
        <v>163</v>
      </c>
      <c r="F65" s="7" t="n">
        <v>3</v>
      </c>
      <c r="G65" s="7" t="n">
        <v>14</v>
      </c>
      <c r="H65" s="7" t="n">
        <v>5</v>
      </c>
      <c r="I65" s="7" t="n">
        <v>13</v>
      </c>
      <c r="J65" s="7" t="s">
        <v>169</v>
      </c>
      <c r="K65" s="7" t="n">
        <v>1</v>
      </c>
      <c r="L65" s="7" t="s">
        <v>269</v>
      </c>
      <c r="M65" s="7" t="s">
        <v>155</v>
      </c>
      <c r="N65" s="7" t="s">
        <v>292</v>
      </c>
    </row>
    <row r="66" customFormat="false" ht="15" hidden="false" customHeight="false" outlineLevel="0" collapsed="false">
      <c r="A66" s="7" t="s">
        <v>266</v>
      </c>
      <c r="B66" s="7" t="s">
        <v>267</v>
      </c>
      <c r="C66" s="7" t="s">
        <v>293</v>
      </c>
      <c r="D66" s="7" t="n">
        <v>2</v>
      </c>
      <c r="E66" s="7" t="s">
        <v>152</v>
      </c>
      <c r="F66" s="7" t="n">
        <v>16</v>
      </c>
      <c r="G66" s="7" t="n">
        <v>56</v>
      </c>
      <c r="H66" s="7" t="n">
        <v>5</v>
      </c>
      <c r="I66" s="7" t="n">
        <v>13</v>
      </c>
      <c r="J66" s="7" t="s">
        <v>169</v>
      </c>
      <c r="K66" s="7" t="n">
        <v>1</v>
      </c>
      <c r="L66" s="7" t="s">
        <v>269</v>
      </c>
      <c r="M66" s="7" t="s">
        <v>155</v>
      </c>
      <c r="N66" s="7" t="s">
        <v>294</v>
      </c>
    </row>
    <row r="67" customFormat="false" ht="15" hidden="false" customHeight="false" outlineLevel="0" collapsed="false">
      <c r="A67" s="7" t="s">
        <v>266</v>
      </c>
      <c r="B67" s="7" t="s">
        <v>267</v>
      </c>
      <c r="C67" s="7" t="s">
        <v>295</v>
      </c>
      <c r="D67" s="7" t="n">
        <v>2</v>
      </c>
      <c r="E67" s="7" t="s">
        <v>152</v>
      </c>
      <c r="F67" s="7" t="n">
        <v>9</v>
      </c>
      <c r="G67" s="7" t="n">
        <v>35</v>
      </c>
      <c r="H67" s="7" t="n">
        <v>5</v>
      </c>
      <c r="I67" s="7" t="n">
        <v>13</v>
      </c>
      <c r="J67" s="7" t="s">
        <v>169</v>
      </c>
      <c r="K67" s="7" t="n">
        <v>1</v>
      </c>
      <c r="L67" s="7" t="s">
        <v>269</v>
      </c>
      <c r="M67" s="7" t="s">
        <v>155</v>
      </c>
      <c r="N67" s="7" t="s">
        <v>296</v>
      </c>
    </row>
    <row r="68" customFormat="false" ht="15" hidden="false" customHeight="false" outlineLevel="0" collapsed="false">
      <c r="A68" s="7" t="s">
        <v>266</v>
      </c>
      <c r="B68" s="7" t="s">
        <v>267</v>
      </c>
      <c r="C68" s="7" t="s">
        <v>297</v>
      </c>
      <c r="D68" s="7" t="n">
        <v>2</v>
      </c>
      <c r="E68" s="7" t="s">
        <v>163</v>
      </c>
      <c r="F68" s="7" t="n">
        <v>3</v>
      </c>
      <c r="G68" s="7" t="n">
        <v>14</v>
      </c>
      <c r="H68" s="7" t="n">
        <v>5</v>
      </c>
      <c r="I68" s="7" t="n">
        <v>12</v>
      </c>
      <c r="J68" s="7" t="s">
        <v>169</v>
      </c>
      <c r="K68" s="7" t="n">
        <v>2</v>
      </c>
      <c r="L68" s="7" t="s">
        <v>269</v>
      </c>
      <c r="M68" s="7" t="s">
        <v>155</v>
      </c>
      <c r="N68" s="7" t="s">
        <v>298</v>
      </c>
    </row>
    <row r="69" customFormat="false" ht="15" hidden="false" customHeight="false" outlineLevel="0" collapsed="false">
      <c r="A69" s="7" t="s">
        <v>266</v>
      </c>
      <c r="B69" s="7" t="s">
        <v>267</v>
      </c>
      <c r="C69" s="7" t="s">
        <v>299</v>
      </c>
      <c r="D69" s="7" t="n">
        <v>2</v>
      </c>
      <c r="E69" s="7" t="s">
        <v>163</v>
      </c>
      <c r="F69" s="7" t="n">
        <v>2</v>
      </c>
      <c r="G69" s="7" t="n">
        <v>8</v>
      </c>
      <c r="H69" s="7" t="n">
        <v>5</v>
      </c>
      <c r="I69" s="7" t="n">
        <v>12</v>
      </c>
      <c r="J69" s="7" t="s">
        <v>155</v>
      </c>
      <c r="K69" s="7" t="n">
        <v>2</v>
      </c>
      <c r="L69" s="7" t="s">
        <v>269</v>
      </c>
      <c r="M69" s="7" t="s">
        <v>155</v>
      </c>
      <c r="N69" s="7" t="s">
        <v>300</v>
      </c>
    </row>
    <row r="70" customFormat="false" ht="15" hidden="false" customHeight="false" outlineLevel="0" collapsed="false">
      <c r="A70" s="7" t="s">
        <v>266</v>
      </c>
      <c r="B70" s="7" t="s">
        <v>267</v>
      </c>
      <c r="C70" s="7" t="s">
        <v>301</v>
      </c>
      <c r="D70" s="7" t="n">
        <v>2</v>
      </c>
      <c r="E70" s="7" t="s">
        <v>202</v>
      </c>
      <c r="F70" s="7" t="n">
        <v>11</v>
      </c>
      <c r="G70" s="7" t="n">
        <v>42</v>
      </c>
      <c r="H70" s="7" t="n">
        <v>4</v>
      </c>
      <c r="I70" s="7" t="n">
        <v>10</v>
      </c>
      <c r="J70" s="7" t="s">
        <v>155</v>
      </c>
      <c r="K70" s="7" t="n">
        <v>3</v>
      </c>
      <c r="L70" s="7" t="s">
        <v>269</v>
      </c>
      <c r="M70" s="7" t="s">
        <v>155</v>
      </c>
      <c r="N70" s="7" t="s">
        <v>302</v>
      </c>
    </row>
    <row r="71" customFormat="false" ht="15" hidden="false" customHeight="false" outlineLevel="0" collapsed="false">
      <c r="A71" s="7" t="s">
        <v>266</v>
      </c>
      <c r="B71" s="7" t="s">
        <v>267</v>
      </c>
      <c r="C71" s="7" t="s">
        <v>303</v>
      </c>
      <c r="D71" s="7" t="n">
        <v>3</v>
      </c>
      <c r="E71" s="7" t="s">
        <v>202</v>
      </c>
      <c r="F71" s="7" t="n">
        <v>160</v>
      </c>
      <c r="G71" s="7" t="n">
        <v>490</v>
      </c>
      <c r="H71" s="7" t="n">
        <v>3</v>
      </c>
      <c r="I71" s="7" t="n">
        <v>8</v>
      </c>
      <c r="J71" s="7" t="s">
        <v>169</v>
      </c>
      <c r="K71" s="7" t="n">
        <v>2</v>
      </c>
      <c r="L71" s="7" t="s">
        <v>269</v>
      </c>
      <c r="M71" s="7" t="s">
        <v>155</v>
      </c>
      <c r="N71" s="7" t="s">
        <v>304</v>
      </c>
    </row>
    <row r="72" customFormat="false" ht="15" hidden="false" customHeight="false" outlineLevel="0" collapsed="false">
      <c r="A72" s="7" t="s">
        <v>266</v>
      </c>
      <c r="B72" s="7" t="s">
        <v>267</v>
      </c>
      <c r="C72" s="7" t="s">
        <v>305</v>
      </c>
      <c r="D72" s="7" t="n">
        <v>3</v>
      </c>
      <c r="E72" s="7" t="s">
        <v>202</v>
      </c>
      <c r="F72" s="7" t="n">
        <v>130</v>
      </c>
      <c r="G72" s="7" t="n">
        <v>420</v>
      </c>
      <c r="H72" s="7" t="n">
        <v>3</v>
      </c>
      <c r="I72" s="7" t="n">
        <v>8</v>
      </c>
      <c r="J72" s="7" t="s">
        <v>169</v>
      </c>
      <c r="K72" s="7" t="n">
        <v>2</v>
      </c>
      <c r="L72" s="7" t="s">
        <v>269</v>
      </c>
      <c r="M72" s="7" t="s">
        <v>155</v>
      </c>
      <c r="N72" s="7" t="s">
        <v>306</v>
      </c>
    </row>
    <row r="73" customFormat="false" ht="15" hidden="false" customHeight="false" outlineLevel="0" collapsed="false">
      <c r="A73" s="7" t="s">
        <v>266</v>
      </c>
      <c r="B73" s="7" t="s">
        <v>267</v>
      </c>
      <c r="C73" s="7" t="s">
        <v>307</v>
      </c>
      <c r="D73" s="7" t="n">
        <v>3</v>
      </c>
      <c r="E73" s="7" t="s">
        <v>202</v>
      </c>
      <c r="F73" s="7" t="n">
        <v>33</v>
      </c>
      <c r="G73" s="7" t="n">
        <v>110</v>
      </c>
      <c r="H73" s="7" t="n">
        <v>3</v>
      </c>
      <c r="I73" s="7" t="n">
        <v>7</v>
      </c>
      <c r="J73" s="7" t="s">
        <v>155</v>
      </c>
      <c r="K73" s="7" t="n">
        <v>3</v>
      </c>
      <c r="L73" s="7" t="s">
        <v>269</v>
      </c>
      <c r="M73" s="7" t="s">
        <v>155</v>
      </c>
      <c r="N73" s="7" t="s">
        <v>308</v>
      </c>
    </row>
    <row r="74" customFormat="false" ht="15" hidden="false" customHeight="false" outlineLevel="0" collapsed="false">
      <c r="A74" s="7" t="s">
        <v>266</v>
      </c>
      <c r="B74" s="7" t="s">
        <v>267</v>
      </c>
      <c r="C74" s="7" t="s">
        <v>309</v>
      </c>
      <c r="D74" s="7" t="n">
        <v>3</v>
      </c>
      <c r="E74" s="7" t="s">
        <v>202</v>
      </c>
      <c r="F74" s="7" t="n">
        <v>55</v>
      </c>
      <c r="G74" s="7" t="n">
        <v>170</v>
      </c>
      <c r="H74" s="7" t="n">
        <v>2</v>
      </c>
      <c r="I74" s="7" t="n">
        <v>6</v>
      </c>
      <c r="J74" s="7" t="s">
        <v>155</v>
      </c>
      <c r="K74" s="7" t="n">
        <v>3</v>
      </c>
      <c r="L74" s="7" t="s">
        <v>269</v>
      </c>
      <c r="M74" s="7" t="s">
        <v>155</v>
      </c>
      <c r="N74" s="7" t="s">
        <v>310</v>
      </c>
    </row>
    <row r="75" customFormat="false" ht="15" hidden="false" customHeight="false" outlineLevel="0" collapsed="false">
      <c r="A75" s="7" t="s">
        <v>311</v>
      </c>
      <c r="B75" s="7" t="s">
        <v>312</v>
      </c>
      <c r="C75" s="7" t="s">
        <v>313</v>
      </c>
      <c r="D75" s="7" t="n">
        <v>1</v>
      </c>
      <c r="E75" s="7" t="s">
        <v>152</v>
      </c>
      <c r="F75" s="7" t="n">
        <v>1</v>
      </c>
      <c r="G75" s="7" t="n">
        <v>6</v>
      </c>
      <c r="H75" s="7" t="n">
        <v>6</v>
      </c>
      <c r="I75" s="7" t="n">
        <v>16</v>
      </c>
      <c r="J75" s="7" t="s">
        <v>169</v>
      </c>
      <c r="K75" s="7" t="n">
        <v>1</v>
      </c>
      <c r="L75" s="7" t="s">
        <v>269</v>
      </c>
      <c r="M75" s="7" t="s">
        <v>155</v>
      </c>
      <c r="N75" s="7" t="s">
        <v>282</v>
      </c>
    </row>
    <row r="76" customFormat="false" ht="15" hidden="false" customHeight="false" outlineLevel="0" collapsed="false">
      <c r="A76" s="7" t="s">
        <v>311</v>
      </c>
      <c r="B76" s="7" t="s">
        <v>312</v>
      </c>
      <c r="C76" s="7" t="s">
        <v>314</v>
      </c>
      <c r="D76" s="7" t="n">
        <v>1</v>
      </c>
      <c r="E76" s="7" t="s">
        <v>152</v>
      </c>
      <c r="F76" s="7" t="n">
        <v>3</v>
      </c>
      <c r="G76" s="7" t="n">
        <v>14</v>
      </c>
      <c r="H76" s="7" t="n">
        <v>7</v>
      </c>
      <c r="I76" s="7" t="n">
        <v>18</v>
      </c>
      <c r="J76" s="7" t="s">
        <v>169</v>
      </c>
      <c r="K76" s="7" t="n">
        <v>1</v>
      </c>
      <c r="L76" s="7" t="s">
        <v>269</v>
      </c>
      <c r="M76" s="7" t="s">
        <v>155</v>
      </c>
      <c r="N76" s="7" t="s">
        <v>315</v>
      </c>
    </row>
    <row r="77" customFormat="false" ht="15" hidden="false" customHeight="false" outlineLevel="0" collapsed="false">
      <c r="A77" s="7" t="s">
        <v>311</v>
      </c>
      <c r="B77" s="7" t="s">
        <v>312</v>
      </c>
      <c r="C77" s="7" t="s">
        <v>316</v>
      </c>
      <c r="D77" s="7" t="n">
        <v>1</v>
      </c>
      <c r="E77" s="7" t="s">
        <v>163</v>
      </c>
      <c r="F77" s="7" t="n">
        <v>2</v>
      </c>
      <c r="G77" s="7" t="n">
        <v>8</v>
      </c>
      <c r="H77" s="7" t="n">
        <v>6</v>
      </c>
      <c r="I77" s="7" t="n">
        <v>16</v>
      </c>
      <c r="J77" s="7" t="s">
        <v>169</v>
      </c>
      <c r="K77" s="7" t="n">
        <v>2</v>
      </c>
      <c r="L77" s="7" t="s">
        <v>269</v>
      </c>
      <c r="M77" s="7" t="s">
        <v>155</v>
      </c>
      <c r="N77" s="7" t="s">
        <v>317</v>
      </c>
    </row>
    <row r="78" customFormat="false" ht="15" hidden="false" customHeight="false" outlineLevel="0" collapsed="false">
      <c r="A78" s="7" t="s">
        <v>311</v>
      </c>
      <c r="B78" s="7" t="s">
        <v>312</v>
      </c>
      <c r="C78" s="7" t="s">
        <v>318</v>
      </c>
      <c r="D78" s="7" t="n">
        <v>1</v>
      </c>
      <c r="E78" s="7" t="s">
        <v>163</v>
      </c>
      <c r="F78" s="7" t="n">
        <v>5</v>
      </c>
      <c r="G78" s="7" t="n">
        <v>30</v>
      </c>
      <c r="H78" s="7" t="n">
        <v>6</v>
      </c>
      <c r="I78" s="7" t="n">
        <v>15</v>
      </c>
      <c r="J78" s="7" t="s">
        <v>155</v>
      </c>
      <c r="K78" s="7" t="n">
        <v>1</v>
      </c>
      <c r="L78" s="7" t="s">
        <v>170</v>
      </c>
      <c r="M78" s="7" t="s">
        <v>155</v>
      </c>
      <c r="N78" s="7" t="s">
        <v>286</v>
      </c>
    </row>
    <row r="79" customFormat="false" ht="15" hidden="false" customHeight="false" outlineLevel="0" collapsed="false">
      <c r="A79" s="7" t="s">
        <v>311</v>
      </c>
      <c r="B79" s="7" t="s">
        <v>312</v>
      </c>
      <c r="C79" s="7" t="s">
        <v>319</v>
      </c>
      <c r="D79" s="7" t="n">
        <v>1</v>
      </c>
      <c r="E79" s="7" t="s">
        <v>163</v>
      </c>
      <c r="F79" s="7" t="n">
        <v>88</v>
      </c>
      <c r="G79" s="7" t="n">
        <v>280</v>
      </c>
      <c r="H79" s="7" t="n">
        <v>5</v>
      </c>
      <c r="I79" s="7" t="n">
        <v>12</v>
      </c>
      <c r="J79" s="7" t="s">
        <v>153</v>
      </c>
      <c r="K79" s="7" t="n">
        <v>2</v>
      </c>
      <c r="L79" s="7" t="s">
        <v>160</v>
      </c>
      <c r="M79" s="7" t="s">
        <v>155</v>
      </c>
      <c r="N79" s="7" t="s">
        <v>320</v>
      </c>
    </row>
    <row r="80" customFormat="false" ht="15" hidden="false" customHeight="false" outlineLevel="0" collapsed="false">
      <c r="A80" s="7" t="s">
        <v>311</v>
      </c>
      <c r="B80" s="7" t="s">
        <v>312</v>
      </c>
      <c r="C80" s="7" t="s">
        <v>312</v>
      </c>
      <c r="D80" s="7" t="n">
        <v>2</v>
      </c>
      <c r="E80" s="7" t="s">
        <v>152</v>
      </c>
      <c r="F80" s="7" t="n">
        <v>44</v>
      </c>
      <c r="G80" s="7" t="n">
        <v>140</v>
      </c>
      <c r="H80" s="7" t="n">
        <v>5</v>
      </c>
      <c r="I80" s="7" t="n">
        <v>12</v>
      </c>
      <c r="J80" s="7" t="s">
        <v>169</v>
      </c>
      <c r="K80" s="7" t="n">
        <v>1</v>
      </c>
      <c r="L80" s="7" t="s">
        <v>269</v>
      </c>
      <c r="M80" s="7" t="s">
        <v>155</v>
      </c>
      <c r="N80" s="7" t="s">
        <v>321</v>
      </c>
    </row>
    <row r="81" customFormat="false" ht="15" hidden="false" customHeight="false" outlineLevel="0" collapsed="false">
      <c r="A81" s="7" t="s">
        <v>311</v>
      </c>
      <c r="B81" s="7" t="s">
        <v>312</v>
      </c>
      <c r="C81" s="7" t="s">
        <v>322</v>
      </c>
      <c r="D81" s="7" t="n">
        <v>2</v>
      </c>
      <c r="E81" s="7" t="s">
        <v>163</v>
      </c>
      <c r="F81" s="7" t="n">
        <v>160</v>
      </c>
      <c r="G81" s="7" t="n">
        <v>490</v>
      </c>
      <c r="H81" s="7" t="n">
        <v>5</v>
      </c>
      <c r="I81" s="7" t="n">
        <v>12</v>
      </c>
      <c r="J81" s="7" t="s">
        <v>169</v>
      </c>
      <c r="K81" s="7" t="n">
        <v>1</v>
      </c>
      <c r="L81" s="7" t="s">
        <v>323</v>
      </c>
      <c r="M81" s="7" t="s">
        <v>155</v>
      </c>
      <c r="N81" s="7" t="s">
        <v>324</v>
      </c>
    </row>
    <row r="82" customFormat="false" ht="15" hidden="false" customHeight="false" outlineLevel="0" collapsed="false">
      <c r="A82" s="7" t="s">
        <v>311</v>
      </c>
      <c r="B82" s="7" t="s">
        <v>312</v>
      </c>
      <c r="C82" s="7" t="s">
        <v>325</v>
      </c>
      <c r="D82" s="7" t="n">
        <v>2</v>
      </c>
      <c r="E82" s="7" t="s">
        <v>163</v>
      </c>
      <c r="F82" s="7" t="n">
        <v>16</v>
      </c>
      <c r="G82" s="7" t="n">
        <v>56</v>
      </c>
      <c r="H82" s="7" t="n">
        <v>5</v>
      </c>
      <c r="I82" s="7" t="n">
        <v>12</v>
      </c>
      <c r="J82" s="7" t="s">
        <v>169</v>
      </c>
      <c r="K82" s="7" t="n">
        <v>2</v>
      </c>
      <c r="L82" s="7" t="s">
        <v>269</v>
      </c>
      <c r="M82" s="7" t="s">
        <v>155</v>
      </c>
      <c r="N82" s="7" t="s">
        <v>326</v>
      </c>
    </row>
    <row r="83" customFormat="false" ht="15" hidden="false" customHeight="false" outlineLevel="0" collapsed="false">
      <c r="A83" s="7" t="s">
        <v>311</v>
      </c>
      <c r="B83" s="7" t="s">
        <v>312</v>
      </c>
      <c r="C83" s="7" t="s">
        <v>327</v>
      </c>
      <c r="D83" s="7" t="n">
        <v>2</v>
      </c>
      <c r="E83" s="7" t="s">
        <v>163</v>
      </c>
      <c r="F83" s="7" t="n">
        <v>33</v>
      </c>
      <c r="G83" s="7" t="n">
        <v>110</v>
      </c>
      <c r="H83" s="7" t="n">
        <v>5</v>
      </c>
      <c r="I83" s="7" t="n">
        <v>12</v>
      </c>
      <c r="J83" s="7" t="s">
        <v>169</v>
      </c>
      <c r="K83" s="7" t="n">
        <v>2</v>
      </c>
      <c r="L83" s="7" t="s">
        <v>269</v>
      </c>
      <c r="M83" s="7" t="s">
        <v>155</v>
      </c>
      <c r="N83" s="7" t="s">
        <v>328</v>
      </c>
    </row>
    <row r="84" customFormat="false" ht="15" hidden="false" customHeight="false" outlineLevel="0" collapsed="false">
      <c r="A84" s="7" t="s">
        <v>311</v>
      </c>
      <c r="B84" s="7" t="s">
        <v>312</v>
      </c>
      <c r="C84" s="7" t="s">
        <v>329</v>
      </c>
      <c r="D84" s="7" t="n">
        <v>3</v>
      </c>
      <c r="E84" s="7" t="s">
        <v>202</v>
      </c>
      <c r="F84" s="7" t="n">
        <v>440</v>
      </c>
      <c r="G84" s="7" t="n">
        <v>1300</v>
      </c>
      <c r="H84" s="7" t="n">
        <v>2</v>
      </c>
      <c r="I84" s="7" t="n">
        <v>6</v>
      </c>
      <c r="J84" s="7" t="s">
        <v>169</v>
      </c>
      <c r="K84" s="7" t="n">
        <v>3</v>
      </c>
      <c r="L84" s="7" t="s">
        <v>323</v>
      </c>
      <c r="M84" s="7" t="s">
        <v>155</v>
      </c>
      <c r="N84" s="7" t="s">
        <v>330</v>
      </c>
    </row>
    <row r="85" customFormat="false" ht="15" hidden="false" customHeight="false" outlineLevel="0" collapsed="false">
      <c r="A85" s="7" t="s">
        <v>311</v>
      </c>
      <c r="B85" s="7" t="s">
        <v>312</v>
      </c>
      <c r="C85" s="7" t="s">
        <v>331</v>
      </c>
      <c r="D85" s="7" t="n">
        <v>3</v>
      </c>
      <c r="E85" s="7" t="s">
        <v>202</v>
      </c>
      <c r="F85" s="7" t="n">
        <v>220</v>
      </c>
      <c r="G85" s="7" t="n">
        <v>700</v>
      </c>
      <c r="H85" s="7" t="n">
        <v>2</v>
      </c>
      <c r="I85" s="7" t="n">
        <v>6</v>
      </c>
      <c r="J85" s="7" t="s">
        <v>169</v>
      </c>
      <c r="K85" s="7" t="n">
        <v>3</v>
      </c>
      <c r="L85" s="7" t="s">
        <v>323</v>
      </c>
      <c r="M85" s="7" t="s">
        <v>155</v>
      </c>
      <c r="N85" s="7" t="s">
        <v>332</v>
      </c>
    </row>
    <row r="86" customFormat="false" ht="15" hidden="false" customHeight="false" outlineLevel="0" collapsed="false">
      <c r="A86" s="7" t="s">
        <v>311</v>
      </c>
      <c r="B86" s="7" t="s">
        <v>312</v>
      </c>
      <c r="C86" s="7" t="s">
        <v>333</v>
      </c>
      <c r="D86" s="7" t="n">
        <v>3</v>
      </c>
      <c r="E86" s="7" t="s">
        <v>202</v>
      </c>
      <c r="F86" s="7" t="n">
        <v>16</v>
      </c>
      <c r="G86" s="7" t="n">
        <v>56</v>
      </c>
      <c r="H86" s="7" t="n">
        <v>3</v>
      </c>
      <c r="I86" s="7" t="n">
        <v>8</v>
      </c>
      <c r="J86" s="7" t="s">
        <v>169</v>
      </c>
      <c r="K86" s="7" t="n">
        <v>2</v>
      </c>
      <c r="L86" s="7" t="s">
        <v>269</v>
      </c>
      <c r="M86" s="7" t="s">
        <v>155</v>
      </c>
      <c r="N86" s="7" t="s">
        <v>334</v>
      </c>
    </row>
    <row r="87" customFormat="false" ht="15" hidden="false" customHeight="false" outlineLevel="0" collapsed="false">
      <c r="A87" s="7" t="s">
        <v>335</v>
      </c>
      <c r="B87" s="7" t="s">
        <v>336</v>
      </c>
      <c r="C87" s="7" t="s">
        <v>337</v>
      </c>
      <c r="D87" s="7" t="n">
        <v>1</v>
      </c>
      <c r="E87" s="7" t="s">
        <v>152</v>
      </c>
      <c r="F87" s="7" t="n">
        <v>2</v>
      </c>
      <c r="G87" s="7" t="n">
        <v>8</v>
      </c>
      <c r="H87" s="7" t="n">
        <v>6</v>
      </c>
      <c r="I87" s="7" t="n">
        <v>16</v>
      </c>
      <c r="J87" s="7" t="s">
        <v>169</v>
      </c>
      <c r="K87" s="7" t="n">
        <v>1</v>
      </c>
      <c r="L87" s="7" t="s">
        <v>269</v>
      </c>
      <c r="M87" s="7" t="s">
        <v>155</v>
      </c>
      <c r="N87" s="7" t="s">
        <v>338</v>
      </c>
    </row>
    <row r="88" customFormat="false" ht="15" hidden="false" customHeight="false" outlineLevel="0" collapsed="false">
      <c r="A88" s="7" t="s">
        <v>335</v>
      </c>
      <c r="B88" s="7" t="s">
        <v>336</v>
      </c>
      <c r="C88" s="7" t="s">
        <v>339</v>
      </c>
      <c r="D88" s="7" t="n">
        <v>1</v>
      </c>
      <c r="E88" s="7" t="s">
        <v>152</v>
      </c>
      <c r="F88" s="7" t="n">
        <v>1</v>
      </c>
      <c r="G88" s="7" t="n">
        <v>3</v>
      </c>
      <c r="H88" s="7" t="n">
        <v>6</v>
      </c>
      <c r="I88" s="7" t="n">
        <v>15</v>
      </c>
      <c r="J88" s="7" t="s">
        <v>169</v>
      </c>
      <c r="K88" s="7" t="n">
        <v>1</v>
      </c>
      <c r="L88" s="7" t="s">
        <v>269</v>
      </c>
      <c r="M88" s="7" t="s">
        <v>155</v>
      </c>
      <c r="N88" s="7" t="s">
        <v>340</v>
      </c>
    </row>
    <row r="89" customFormat="false" ht="15" hidden="false" customHeight="false" outlineLevel="0" collapsed="false">
      <c r="A89" s="7" t="s">
        <v>335</v>
      </c>
      <c r="B89" s="7" t="s">
        <v>336</v>
      </c>
      <c r="C89" s="7" t="s">
        <v>341</v>
      </c>
      <c r="D89" s="7" t="n">
        <v>1</v>
      </c>
      <c r="E89" s="7" t="s">
        <v>163</v>
      </c>
      <c r="F89" s="7" t="n">
        <v>1</v>
      </c>
      <c r="G89" s="7" t="n">
        <v>6</v>
      </c>
      <c r="H89" s="7" t="n">
        <v>6</v>
      </c>
      <c r="I89" s="7" t="n">
        <v>15</v>
      </c>
      <c r="J89" s="7" t="s">
        <v>169</v>
      </c>
      <c r="K89" s="7" t="n">
        <v>1</v>
      </c>
      <c r="L89" s="7" t="s">
        <v>269</v>
      </c>
      <c r="M89" s="7" t="s">
        <v>155</v>
      </c>
      <c r="N89" s="7" t="s">
        <v>342</v>
      </c>
    </row>
    <row r="90" customFormat="false" ht="15" hidden="false" customHeight="false" outlineLevel="0" collapsed="false">
      <c r="A90" s="7" t="s">
        <v>335</v>
      </c>
      <c r="B90" s="7" t="s">
        <v>336</v>
      </c>
      <c r="C90" s="7" t="s">
        <v>343</v>
      </c>
      <c r="D90" s="7" t="n">
        <v>1</v>
      </c>
      <c r="E90" s="7" t="s">
        <v>163</v>
      </c>
      <c r="F90" s="7" t="n">
        <v>1</v>
      </c>
      <c r="G90" s="7" t="n">
        <v>6</v>
      </c>
      <c r="H90" s="7" t="n">
        <v>6</v>
      </c>
      <c r="I90" s="7" t="n">
        <v>16</v>
      </c>
      <c r="J90" s="7" t="s">
        <v>169</v>
      </c>
      <c r="K90" s="7" t="n">
        <v>2</v>
      </c>
      <c r="L90" s="7" t="s">
        <v>269</v>
      </c>
      <c r="M90" s="7" t="s">
        <v>155</v>
      </c>
      <c r="N90" s="7" t="s">
        <v>344</v>
      </c>
    </row>
    <row r="91" customFormat="false" ht="15" hidden="false" customHeight="false" outlineLevel="0" collapsed="false">
      <c r="A91" s="7" t="s">
        <v>335</v>
      </c>
      <c r="B91" s="7" t="s">
        <v>336</v>
      </c>
      <c r="C91" s="7" t="s">
        <v>336</v>
      </c>
      <c r="D91" s="7" t="n">
        <v>2</v>
      </c>
      <c r="E91" s="7" t="s">
        <v>152</v>
      </c>
      <c r="F91" s="7" t="n">
        <v>33</v>
      </c>
      <c r="G91" s="7" t="n">
        <v>110</v>
      </c>
      <c r="H91" s="7" t="n">
        <v>4</v>
      </c>
      <c r="I91" s="7" t="n">
        <v>11</v>
      </c>
      <c r="J91" s="7" t="s">
        <v>169</v>
      </c>
      <c r="K91" s="7" t="n">
        <v>1</v>
      </c>
      <c r="L91" s="7" t="s">
        <v>269</v>
      </c>
      <c r="M91" s="7" t="s">
        <v>155</v>
      </c>
      <c r="N91" s="7" t="s">
        <v>345</v>
      </c>
    </row>
    <row r="92" customFormat="false" ht="15" hidden="false" customHeight="false" outlineLevel="0" collapsed="false">
      <c r="A92" s="7" t="s">
        <v>335</v>
      </c>
      <c r="B92" s="7" t="s">
        <v>336</v>
      </c>
      <c r="C92" s="7" t="s">
        <v>346</v>
      </c>
      <c r="D92" s="7" t="n">
        <v>2</v>
      </c>
      <c r="E92" s="7" t="s">
        <v>163</v>
      </c>
      <c r="F92" s="7" t="n">
        <v>88</v>
      </c>
      <c r="G92" s="7" t="n">
        <v>280</v>
      </c>
      <c r="H92" s="7" t="n">
        <v>5</v>
      </c>
      <c r="I92" s="7" t="n">
        <v>12</v>
      </c>
      <c r="J92" s="7" t="s">
        <v>169</v>
      </c>
      <c r="K92" s="7" t="n">
        <v>1</v>
      </c>
      <c r="L92" s="7" t="s">
        <v>269</v>
      </c>
      <c r="M92" s="7" t="s">
        <v>155</v>
      </c>
      <c r="N92" s="7" t="s">
        <v>347</v>
      </c>
    </row>
    <row r="93" customFormat="false" ht="15" hidden="false" customHeight="false" outlineLevel="0" collapsed="false">
      <c r="A93" s="7" t="s">
        <v>335</v>
      </c>
      <c r="B93" s="7" t="s">
        <v>336</v>
      </c>
      <c r="C93" s="7" t="s">
        <v>348</v>
      </c>
      <c r="D93" s="7" t="n">
        <v>2</v>
      </c>
      <c r="E93" s="7" t="s">
        <v>163</v>
      </c>
      <c r="F93" s="7" t="n">
        <v>33</v>
      </c>
      <c r="G93" s="7" t="n">
        <v>110</v>
      </c>
      <c r="H93" s="7" t="n">
        <v>5</v>
      </c>
      <c r="I93" s="7" t="n">
        <v>12</v>
      </c>
      <c r="J93" s="7" t="s">
        <v>169</v>
      </c>
      <c r="K93" s="7" t="n">
        <v>1</v>
      </c>
      <c r="L93" s="7" t="s">
        <v>269</v>
      </c>
      <c r="M93" s="7" t="s">
        <v>155</v>
      </c>
      <c r="N93" s="7" t="s">
        <v>349</v>
      </c>
    </row>
    <row r="94" customFormat="false" ht="15" hidden="false" customHeight="false" outlineLevel="0" collapsed="false">
      <c r="A94" s="7" t="s">
        <v>335</v>
      </c>
      <c r="B94" s="7" t="s">
        <v>336</v>
      </c>
      <c r="C94" s="7" t="s">
        <v>350</v>
      </c>
      <c r="D94" s="7" t="n">
        <v>2</v>
      </c>
      <c r="E94" s="7" t="s">
        <v>163</v>
      </c>
      <c r="F94" s="7" t="n">
        <v>33</v>
      </c>
      <c r="G94" s="7" t="n">
        <v>110</v>
      </c>
      <c r="H94" s="7" t="n">
        <v>3</v>
      </c>
      <c r="I94" s="7" t="n">
        <v>9</v>
      </c>
      <c r="J94" s="7" t="s">
        <v>169</v>
      </c>
      <c r="K94" s="7" t="n">
        <v>2</v>
      </c>
      <c r="L94" s="7" t="s">
        <v>269</v>
      </c>
      <c r="M94" s="7" t="s">
        <v>155</v>
      </c>
      <c r="N94" s="7" t="s">
        <v>351</v>
      </c>
    </row>
    <row r="95" customFormat="false" ht="15" hidden="false" customHeight="false" outlineLevel="0" collapsed="false">
      <c r="A95" s="7" t="s">
        <v>335</v>
      </c>
      <c r="B95" s="7" t="s">
        <v>336</v>
      </c>
      <c r="C95" s="7" t="s">
        <v>352</v>
      </c>
      <c r="D95" s="7" t="n">
        <v>2</v>
      </c>
      <c r="E95" s="7" t="s">
        <v>163</v>
      </c>
      <c r="F95" s="7" t="n">
        <v>55</v>
      </c>
      <c r="G95" s="7" t="n">
        <v>170</v>
      </c>
      <c r="H95" s="7" t="n">
        <v>4</v>
      </c>
      <c r="I95" s="7" t="n">
        <v>11</v>
      </c>
      <c r="J95" s="7" t="s">
        <v>169</v>
      </c>
      <c r="K95" s="7" t="n">
        <v>2</v>
      </c>
      <c r="L95" s="7" t="s">
        <v>269</v>
      </c>
      <c r="M95" s="7" t="s">
        <v>155</v>
      </c>
      <c r="N95" s="7" t="s">
        <v>353</v>
      </c>
    </row>
    <row r="96" customFormat="false" ht="15" hidden="false" customHeight="false" outlineLevel="0" collapsed="false">
      <c r="A96" s="7" t="s">
        <v>335</v>
      </c>
      <c r="B96" s="7" t="s">
        <v>336</v>
      </c>
      <c r="C96" s="7" t="s">
        <v>354</v>
      </c>
      <c r="D96" s="7" t="n">
        <v>3</v>
      </c>
      <c r="E96" s="7" t="s">
        <v>202</v>
      </c>
      <c r="F96" s="7" t="n">
        <v>660</v>
      </c>
      <c r="G96" s="7" t="n">
        <v>2000</v>
      </c>
      <c r="H96" s="7" t="n">
        <v>2</v>
      </c>
      <c r="I96" s="7" t="n">
        <v>6</v>
      </c>
      <c r="J96" s="7" t="s">
        <v>169</v>
      </c>
      <c r="K96" s="7" t="n">
        <v>3</v>
      </c>
      <c r="L96" s="7" t="s">
        <v>269</v>
      </c>
      <c r="M96" s="7" t="s">
        <v>155</v>
      </c>
      <c r="N96" s="7" t="s">
        <v>355</v>
      </c>
    </row>
    <row r="97" customFormat="false" ht="15" hidden="false" customHeight="false" outlineLevel="0" collapsed="false">
      <c r="A97" s="7" t="s">
        <v>335</v>
      </c>
      <c r="B97" s="7" t="s">
        <v>336</v>
      </c>
      <c r="C97" s="7" t="s">
        <v>356</v>
      </c>
      <c r="D97" s="7" t="n">
        <v>3</v>
      </c>
      <c r="E97" s="7" t="s">
        <v>202</v>
      </c>
      <c r="F97" s="7" t="n">
        <v>440</v>
      </c>
      <c r="G97" s="7" t="n">
        <v>1300</v>
      </c>
      <c r="H97" s="7" t="n">
        <v>2</v>
      </c>
      <c r="I97" s="7" t="n">
        <v>6</v>
      </c>
      <c r="J97" s="7" t="s">
        <v>169</v>
      </c>
      <c r="K97" s="7" t="n">
        <v>3</v>
      </c>
      <c r="L97" s="7" t="s">
        <v>269</v>
      </c>
      <c r="M97" s="7" t="s">
        <v>155</v>
      </c>
      <c r="N97" s="7" t="s">
        <v>357</v>
      </c>
    </row>
    <row r="98" customFormat="false" ht="15" hidden="false" customHeight="false" outlineLevel="0" collapsed="false">
      <c r="A98" s="7" t="s">
        <v>358</v>
      </c>
      <c r="B98" s="7" t="s">
        <v>359</v>
      </c>
      <c r="C98" s="7" t="s">
        <v>360</v>
      </c>
      <c r="D98" s="7" t="n">
        <v>1</v>
      </c>
      <c r="E98" s="7" t="s">
        <v>152</v>
      </c>
      <c r="F98" s="7" t="n">
        <v>1</v>
      </c>
      <c r="G98" s="7" t="n">
        <v>3</v>
      </c>
      <c r="H98" s="7" t="n">
        <v>6</v>
      </c>
      <c r="I98" s="7" t="n">
        <v>16</v>
      </c>
      <c r="J98" s="7" t="s">
        <v>169</v>
      </c>
      <c r="K98" s="7" t="n">
        <v>1</v>
      </c>
      <c r="L98" s="7" t="s">
        <v>269</v>
      </c>
      <c r="M98" s="7" t="s">
        <v>155</v>
      </c>
      <c r="N98" s="7" t="s">
        <v>361</v>
      </c>
    </row>
    <row r="99" customFormat="false" ht="15" hidden="false" customHeight="false" outlineLevel="0" collapsed="false">
      <c r="A99" s="7" t="s">
        <v>358</v>
      </c>
      <c r="B99" s="7" t="s">
        <v>359</v>
      </c>
      <c r="C99" s="7" t="s">
        <v>362</v>
      </c>
      <c r="D99" s="7" t="n">
        <v>1</v>
      </c>
      <c r="E99" s="7" t="s">
        <v>152</v>
      </c>
      <c r="F99" s="7" t="n">
        <v>3</v>
      </c>
      <c r="G99" s="7" t="n">
        <v>14</v>
      </c>
      <c r="H99" s="7" t="n">
        <v>7</v>
      </c>
      <c r="I99" s="7" t="n">
        <v>18</v>
      </c>
      <c r="J99" s="7" t="s">
        <v>169</v>
      </c>
      <c r="K99" s="7" t="n">
        <v>1</v>
      </c>
      <c r="L99" s="7" t="s">
        <v>269</v>
      </c>
      <c r="M99" s="7" t="s">
        <v>155</v>
      </c>
      <c r="N99" s="7" t="s">
        <v>363</v>
      </c>
    </row>
    <row r="100" customFormat="false" ht="15" hidden="false" customHeight="false" outlineLevel="0" collapsed="false">
      <c r="A100" s="7" t="s">
        <v>358</v>
      </c>
      <c r="B100" s="7" t="s">
        <v>359</v>
      </c>
      <c r="C100" s="7" t="s">
        <v>364</v>
      </c>
      <c r="D100" s="7" t="n">
        <v>1</v>
      </c>
      <c r="E100" s="7" t="s">
        <v>163</v>
      </c>
      <c r="F100" s="7" t="n">
        <v>22</v>
      </c>
      <c r="G100" s="7" t="n">
        <v>70</v>
      </c>
      <c r="H100" s="7" t="n">
        <v>7</v>
      </c>
      <c r="I100" s="7" t="n">
        <v>18</v>
      </c>
      <c r="J100" s="7" t="s">
        <v>153</v>
      </c>
      <c r="K100" s="7" t="n">
        <v>1</v>
      </c>
      <c r="L100" s="7" t="s">
        <v>160</v>
      </c>
      <c r="M100" s="7" t="s">
        <v>155</v>
      </c>
      <c r="N100" s="7" t="s">
        <v>365</v>
      </c>
    </row>
    <row r="101" customFormat="false" ht="15" hidden="false" customHeight="false" outlineLevel="0" collapsed="false">
      <c r="A101" s="7" t="s">
        <v>358</v>
      </c>
      <c r="B101" s="7" t="s">
        <v>359</v>
      </c>
      <c r="C101" s="7" t="s">
        <v>366</v>
      </c>
      <c r="D101" s="7" t="n">
        <v>1</v>
      </c>
      <c r="E101" s="7" t="s">
        <v>163</v>
      </c>
      <c r="F101" s="7" t="n">
        <v>2</v>
      </c>
      <c r="G101" s="7" t="n">
        <v>8</v>
      </c>
      <c r="H101" s="7" t="n">
        <v>6</v>
      </c>
      <c r="I101" s="7" t="n">
        <v>15</v>
      </c>
      <c r="J101" s="7" t="s">
        <v>169</v>
      </c>
      <c r="K101" s="7" t="n">
        <v>2</v>
      </c>
      <c r="L101" s="7" t="s">
        <v>269</v>
      </c>
      <c r="M101" s="7" t="s">
        <v>155</v>
      </c>
      <c r="N101" s="7" t="s">
        <v>300</v>
      </c>
    </row>
    <row r="102" customFormat="false" ht="15" hidden="false" customHeight="false" outlineLevel="0" collapsed="false">
      <c r="A102" s="7" t="s">
        <v>358</v>
      </c>
      <c r="B102" s="7" t="s">
        <v>359</v>
      </c>
      <c r="C102" s="7" t="s">
        <v>367</v>
      </c>
      <c r="D102" s="7" t="n">
        <v>1</v>
      </c>
      <c r="E102" s="7" t="s">
        <v>163</v>
      </c>
      <c r="F102" s="7" t="n">
        <v>5</v>
      </c>
      <c r="G102" s="7" t="n">
        <v>30</v>
      </c>
      <c r="H102" s="7" t="n">
        <v>6</v>
      </c>
      <c r="I102" s="7" t="n">
        <v>15</v>
      </c>
      <c r="J102" s="7" t="s">
        <v>169</v>
      </c>
      <c r="K102" s="7" t="n">
        <v>1</v>
      </c>
      <c r="L102" s="7" t="s">
        <v>170</v>
      </c>
      <c r="M102" s="7" t="s">
        <v>155</v>
      </c>
      <c r="N102" s="7" t="s">
        <v>286</v>
      </c>
    </row>
    <row r="103" customFormat="false" ht="15" hidden="false" customHeight="false" outlineLevel="0" collapsed="false">
      <c r="A103" s="7" t="s">
        <v>358</v>
      </c>
      <c r="B103" s="7" t="s">
        <v>359</v>
      </c>
      <c r="C103" s="7" t="s">
        <v>368</v>
      </c>
      <c r="D103" s="7" t="n">
        <v>2</v>
      </c>
      <c r="E103" s="7" t="s">
        <v>152</v>
      </c>
      <c r="F103" s="7" t="n">
        <v>160</v>
      </c>
      <c r="G103" s="7" t="n">
        <v>490</v>
      </c>
      <c r="H103" s="7" t="n">
        <v>5</v>
      </c>
      <c r="I103" s="7" t="n">
        <v>12</v>
      </c>
      <c r="J103" s="7" t="s">
        <v>169</v>
      </c>
      <c r="K103" s="7" t="n">
        <v>1</v>
      </c>
      <c r="L103" s="7" t="s">
        <v>369</v>
      </c>
      <c r="M103" s="7" t="s">
        <v>155</v>
      </c>
      <c r="N103" s="7" t="s">
        <v>370</v>
      </c>
    </row>
    <row r="104" customFormat="false" ht="15" hidden="false" customHeight="false" outlineLevel="0" collapsed="false">
      <c r="A104" s="7" t="s">
        <v>358</v>
      </c>
      <c r="B104" s="7" t="s">
        <v>359</v>
      </c>
      <c r="C104" s="7" t="s">
        <v>359</v>
      </c>
      <c r="D104" s="7" t="n">
        <v>2</v>
      </c>
      <c r="E104" s="7" t="s">
        <v>152</v>
      </c>
      <c r="F104" s="7" t="n">
        <v>55</v>
      </c>
      <c r="G104" s="7" t="n">
        <v>170</v>
      </c>
      <c r="H104" s="7" t="n">
        <v>5</v>
      </c>
      <c r="I104" s="7" t="n">
        <v>12</v>
      </c>
      <c r="J104" s="7" t="s">
        <v>169</v>
      </c>
      <c r="K104" s="7" t="n">
        <v>1</v>
      </c>
      <c r="L104" s="7" t="s">
        <v>269</v>
      </c>
      <c r="M104" s="7" t="s">
        <v>155</v>
      </c>
      <c r="N104" s="7" t="s">
        <v>371</v>
      </c>
    </row>
    <row r="105" customFormat="false" ht="15" hidden="false" customHeight="false" outlineLevel="0" collapsed="false">
      <c r="A105" s="7" t="s">
        <v>358</v>
      </c>
      <c r="B105" s="7" t="s">
        <v>359</v>
      </c>
      <c r="C105" s="7" t="s">
        <v>372</v>
      </c>
      <c r="D105" s="7" t="n">
        <v>2</v>
      </c>
      <c r="E105" s="7" t="s">
        <v>163</v>
      </c>
      <c r="F105" s="7" t="n">
        <v>9</v>
      </c>
      <c r="G105" s="7" t="n">
        <v>35</v>
      </c>
      <c r="H105" s="7" t="n">
        <v>5</v>
      </c>
      <c r="I105" s="7" t="n">
        <v>12</v>
      </c>
      <c r="J105" s="7" t="s">
        <v>169</v>
      </c>
      <c r="K105" s="7" t="n">
        <v>2</v>
      </c>
      <c r="L105" s="7" t="s">
        <v>269</v>
      </c>
      <c r="M105" s="7" t="s">
        <v>155</v>
      </c>
      <c r="N105" s="7" t="s">
        <v>296</v>
      </c>
    </row>
    <row r="106" customFormat="false" ht="15" hidden="false" customHeight="false" outlineLevel="0" collapsed="false">
      <c r="A106" s="7" t="s">
        <v>358</v>
      </c>
      <c r="B106" s="7" t="s">
        <v>359</v>
      </c>
      <c r="C106" s="7" t="s">
        <v>373</v>
      </c>
      <c r="D106" s="7" t="n">
        <v>2</v>
      </c>
      <c r="E106" s="7" t="s">
        <v>163</v>
      </c>
      <c r="F106" s="7" t="n">
        <v>16</v>
      </c>
      <c r="G106" s="7" t="n">
        <v>56</v>
      </c>
      <c r="H106" s="7" t="n">
        <v>5</v>
      </c>
      <c r="I106" s="7" t="n">
        <v>12</v>
      </c>
      <c r="J106" s="7" t="s">
        <v>169</v>
      </c>
      <c r="K106" s="7" t="n">
        <v>2</v>
      </c>
      <c r="L106" s="7" t="s">
        <v>269</v>
      </c>
      <c r="M106" s="7" t="s">
        <v>155</v>
      </c>
      <c r="N106" s="7" t="s">
        <v>326</v>
      </c>
    </row>
    <row r="107" customFormat="false" ht="15" hidden="false" customHeight="false" outlineLevel="0" collapsed="false">
      <c r="A107" s="7" t="s">
        <v>358</v>
      </c>
      <c r="B107" s="7" t="s">
        <v>359</v>
      </c>
      <c r="C107" s="7" t="s">
        <v>374</v>
      </c>
      <c r="D107" s="7" t="n">
        <v>3</v>
      </c>
      <c r="E107" s="7" t="s">
        <v>202</v>
      </c>
      <c r="F107" s="7" t="n">
        <v>330</v>
      </c>
      <c r="G107" s="7" t="n">
        <v>980</v>
      </c>
      <c r="H107" s="7" t="n">
        <v>2</v>
      </c>
      <c r="I107" s="7" t="n">
        <v>6</v>
      </c>
      <c r="J107" s="7" t="s">
        <v>169</v>
      </c>
      <c r="K107" s="7" t="n">
        <v>3</v>
      </c>
      <c r="L107" s="7" t="s">
        <v>269</v>
      </c>
      <c r="M107" s="7" t="s">
        <v>155</v>
      </c>
      <c r="N107" s="7" t="s">
        <v>375</v>
      </c>
    </row>
    <row r="108" customFormat="false" ht="15" hidden="false" customHeight="false" outlineLevel="0" collapsed="false">
      <c r="A108" s="7" t="s">
        <v>358</v>
      </c>
      <c r="B108" s="7" t="s">
        <v>359</v>
      </c>
      <c r="C108" s="7" t="s">
        <v>376</v>
      </c>
      <c r="D108" s="7" t="n">
        <v>3</v>
      </c>
      <c r="E108" s="7" t="s">
        <v>202</v>
      </c>
      <c r="F108" s="7" t="n">
        <v>220</v>
      </c>
      <c r="G108" s="7" t="n">
        <v>700</v>
      </c>
      <c r="H108" s="7" t="n">
        <v>2</v>
      </c>
      <c r="I108" s="7" t="n">
        <v>6</v>
      </c>
      <c r="J108" s="7" t="s">
        <v>169</v>
      </c>
      <c r="K108" s="7" t="n">
        <v>3</v>
      </c>
      <c r="L108" s="7" t="s">
        <v>269</v>
      </c>
      <c r="M108" s="7" t="s">
        <v>155</v>
      </c>
      <c r="N108" s="7" t="s">
        <v>332</v>
      </c>
    </row>
    <row r="109" customFormat="false" ht="15" hidden="false" customHeight="false" outlineLevel="0" collapsed="false">
      <c r="A109" s="7" t="s">
        <v>358</v>
      </c>
      <c r="B109" s="7" t="s">
        <v>359</v>
      </c>
      <c r="C109" s="7" t="s">
        <v>377</v>
      </c>
      <c r="D109" s="7" t="n">
        <v>3</v>
      </c>
      <c r="E109" s="7" t="s">
        <v>202</v>
      </c>
      <c r="F109" s="7" t="n">
        <v>22</v>
      </c>
      <c r="G109" s="7" t="n">
        <v>70</v>
      </c>
      <c r="H109" s="7" t="n">
        <v>3</v>
      </c>
      <c r="I109" s="7" t="n">
        <v>8</v>
      </c>
      <c r="J109" s="7" t="s">
        <v>169</v>
      </c>
      <c r="K109" s="7" t="n">
        <v>2</v>
      </c>
      <c r="L109" s="7" t="s">
        <v>269</v>
      </c>
      <c r="M109" s="7" t="s">
        <v>155</v>
      </c>
      <c r="N109" s="7" t="s">
        <v>378</v>
      </c>
    </row>
    <row r="110" customFormat="false" ht="15" hidden="false" customHeight="false" outlineLevel="0" collapsed="false">
      <c r="A110" s="7" t="s">
        <v>358</v>
      </c>
      <c r="B110" s="7" t="s">
        <v>359</v>
      </c>
      <c r="C110" s="7" t="s">
        <v>379</v>
      </c>
      <c r="D110" s="7" t="n">
        <v>3</v>
      </c>
      <c r="E110" s="7" t="s">
        <v>202</v>
      </c>
      <c r="F110" s="7" t="n">
        <v>55</v>
      </c>
      <c r="G110" s="7" t="n">
        <v>170</v>
      </c>
      <c r="H110" s="7" t="n">
        <v>2</v>
      </c>
      <c r="I110" s="7" t="n">
        <v>5</v>
      </c>
      <c r="J110" s="7" t="s">
        <v>155</v>
      </c>
      <c r="K110" s="7" t="n">
        <v>3</v>
      </c>
      <c r="L110" s="7" t="s">
        <v>369</v>
      </c>
      <c r="M110" s="7" t="s">
        <v>155</v>
      </c>
      <c r="N110" s="7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8" min="5" style="1" width="14"/>
    <col collapsed="false" customWidth="true" hidden="false" outlineLevel="0" max="9" min="9" style="1" width="11"/>
    <col collapsed="false" customWidth="true" hidden="false" outlineLevel="0" max="11" min="10" style="1" width="14"/>
    <col collapsed="false" customWidth="true" hidden="false" outlineLevel="0" max="12" min="12" style="1" width="11"/>
    <col collapsed="false" customWidth="true" hidden="false" outlineLevel="0" max="15" min="13" style="1" width="12"/>
    <col collapsed="false" customWidth="true" hidden="false" outlineLevel="0" max="18" min="16" style="1" width="14"/>
  </cols>
  <sheetData>
    <row r="1" customFormat="false" ht="15" hidden="false" customHeight="false" outlineLevel="0" collapsed="false">
      <c r="A1" s="2" t="s">
        <v>381</v>
      </c>
    </row>
    <row r="2" customFormat="false" ht="15" hidden="false" customHeight="false" outlineLevel="0" collapsed="false">
      <c r="A2" s="3" t="s">
        <v>382</v>
      </c>
    </row>
    <row r="3" customFormat="false" ht="42" hidden="false" customHeight="true" outlineLevel="0" collapsed="false">
      <c r="A3" s="16" t="s">
        <v>383</v>
      </c>
      <c r="B3" s="16" t="s">
        <v>384</v>
      </c>
      <c r="C3" s="16" t="s">
        <v>385</v>
      </c>
      <c r="D3" s="16" t="s">
        <v>386</v>
      </c>
      <c r="E3" s="16" t="s">
        <v>387</v>
      </c>
      <c r="F3" s="16" t="s">
        <v>388</v>
      </c>
      <c r="G3" s="16" t="s">
        <v>389</v>
      </c>
      <c r="H3" s="16" t="s">
        <v>390</v>
      </c>
      <c r="I3" s="16" t="s">
        <v>391</v>
      </c>
      <c r="J3" s="16" t="s">
        <v>392</v>
      </c>
      <c r="K3" s="16" t="s">
        <v>393</v>
      </c>
      <c r="L3" s="16" t="s">
        <v>394</v>
      </c>
      <c r="M3" s="16" t="s">
        <v>395</v>
      </c>
      <c r="N3" s="16" t="s">
        <v>396</v>
      </c>
    </row>
    <row r="4" customFormat="false" ht="15" hidden="false" customHeight="false" outlineLevel="0" collapsed="false">
      <c r="A4" s="17" t="s">
        <v>397</v>
      </c>
      <c r="B4" s="17" t="s">
        <v>6</v>
      </c>
      <c r="C4" s="18" t="n">
        <f aca="false">C23</f>
        <v>3000</v>
      </c>
      <c r="D4" s="18" t="n">
        <f aca="false">J23</f>
        <v>316.8</v>
      </c>
      <c r="E4" s="18" t="n">
        <f aca="false">K23</f>
        <v>2683.2</v>
      </c>
      <c r="F4" s="19" t="n">
        <f aca="false">H23</f>
        <v>46.08</v>
      </c>
      <c r="G4" s="20" t="n">
        <f aca="false">D23</f>
        <v>6.875</v>
      </c>
      <c r="H4" s="19" t="n">
        <f aca="false">L23</f>
        <v>2.7648</v>
      </c>
      <c r="I4" s="19" t="n">
        <f aca="false">M23</f>
        <v>0.82944</v>
      </c>
      <c r="J4" s="19" t="n">
        <f aca="false">N23</f>
        <v>0.41472</v>
      </c>
      <c r="K4" s="19" t="n">
        <f aca="false">O23</f>
        <v>0.31104</v>
      </c>
      <c r="L4" s="21" t="n">
        <f aca="false">P23</f>
        <v>381.944444444444</v>
      </c>
      <c r="M4" s="21" t="n">
        <f aca="false">Q23</f>
        <v>763.888888888889</v>
      </c>
      <c r="N4" s="21" t="n">
        <f aca="false">R23</f>
        <v>1018.51851851852</v>
      </c>
    </row>
    <row r="5" customFormat="false" ht="15" hidden="false" customHeight="false" outlineLevel="0" collapsed="false">
      <c r="A5" s="17" t="s">
        <v>397</v>
      </c>
      <c r="B5" s="17" t="s">
        <v>7</v>
      </c>
      <c r="C5" s="18" t="n">
        <f aca="false">C33</f>
        <v>3000</v>
      </c>
      <c r="D5" s="18" t="n">
        <f aca="false">J33</f>
        <v>2049.6</v>
      </c>
      <c r="E5" s="18" t="n">
        <f aca="false">K33</f>
        <v>950.4</v>
      </c>
      <c r="F5" s="19" t="n">
        <f aca="false">H33</f>
        <v>208.2</v>
      </c>
      <c r="G5" s="20" t="n">
        <f aca="false">D33</f>
        <v>9.84438040345821</v>
      </c>
      <c r="H5" s="19" t="n">
        <f aca="false">L33</f>
        <v>20.82</v>
      </c>
      <c r="I5" s="19" t="n">
        <f aca="false">M33</f>
        <v>9.369</v>
      </c>
      <c r="J5" s="19" t="n">
        <f aca="false">N33</f>
        <v>6.08985</v>
      </c>
      <c r="K5" s="19" t="n">
        <f aca="false">O33</f>
        <v>5.1763725</v>
      </c>
      <c r="L5" s="21" t="n">
        <f aca="false">P33</f>
        <v>218.764008965738</v>
      </c>
      <c r="M5" s="21" t="n">
        <f aca="false">Q33</f>
        <v>336.560013793443</v>
      </c>
      <c r="N5" s="21" t="n">
        <f aca="false">R33</f>
        <v>395.952957404051</v>
      </c>
    </row>
    <row r="6" customFormat="false" ht="15" hidden="false" customHeight="false" outlineLevel="0" collapsed="false">
      <c r="A6" s="17" t="s">
        <v>397</v>
      </c>
      <c r="B6" s="17" t="s">
        <v>8</v>
      </c>
      <c r="C6" s="18" t="n">
        <f aca="false">C43</f>
        <v>3000</v>
      </c>
      <c r="D6" s="18" t="n">
        <f aca="false">J43</f>
        <v>3000</v>
      </c>
      <c r="E6" s="18" t="n">
        <f aca="false">K43</f>
        <v>0</v>
      </c>
      <c r="F6" s="19" t="n">
        <f aca="false">H43</f>
        <v>193.990384615385</v>
      </c>
      <c r="G6" s="20" t="n">
        <f aca="false">D43</f>
        <v>15.4646840148699</v>
      </c>
      <c r="H6" s="19" t="n">
        <f aca="false">L43</f>
        <v>27.1586538461539</v>
      </c>
      <c r="I6" s="19" t="n">
        <f aca="false">M43</f>
        <v>16.2951923076923</v>
      </c>
      <c r="J6" s="19" t="n">
        <f aca="false">N43</f>
        <v>13.0361538461539</v>
      </c>
      <c r="K6" s="19" t="n">
        <f aca="false">O43</f>
        <v>11.9932615384615</v>
      </c>
      <c r="L6" s="21" t="n">
        <f aca="false">P43</f>
        <v>184.103381129403</v>
      </c>
      <c r="M6" s="21" t="n">
        <f aca="false">Q43</f>
        <v>230.129226411754</v>
      </c>
      <c r="N6" s="21" t="n">
        <f aca="false">R43</f>
        <v>250.140463491037</v>
      </c>
    </row>
    <row r="7" customFormat="false" ht="15" hidden="false" customHeight="false" outlineLevel="0" collapsed="false">
      <c r="A7" s="17" t="s">
        <v>398</v>
      </c>
      <c r="B7" s="17" t="s">
        <v>6</v>
      </c>
      <c r="C7" s="18" t="n">
        <f aca="false">C53</f>
        <v>6000</v>
      </c>
      <c r="D7" s="18" t="n">
        <f aca="false">J53</f>
        <v>501.182</v>
      </c>
      <c r="E7" s="18" t="n">
        <f aca="false">K53</f>
        <v>5498.818</v>
      </c>
      <c r="F7" s="19" t="n">
        <f aca="false">H53</f>
        <v>76.296</v>
      </c>
      <c r="G7" s="20" t="n">
        <f aca="false">D53</f>
        <v>6.56891580161476</v>
      </c>
      <c r="H7" s="19" t="n">
        <f aca="false">L53</f>
        <v>4.57776</v>
      </c>
      <c r="I7" s="19" t="n">
        <f aca="false">M53</f>
        <v>1.373328</v>
      </c>
      <c r="J7" s="19" t="n">
        <f aca="false">N53</f>
        <v>0.686664</v>
      </c>
      <c r="K7" s="19" t="n">
        <f aca="false">O53</f>
        <v>0.514998</v>
      </c>
      <c r="L7" s="21" t="n">
        <f aca="false">P53</f>
        <v>364.939766756376</v>
      </c>
      <c r="M7" s="21" t="n">
        <f aca="false">Q53</f>
        <v>729.879533512752</v>
      </c>
      <c r="N7" s="21" t="n">
        <f aca="false">R53</f>
        <v>973.172711350336</v>
      </c>
    </row>
    <row r="8" customFormat="false" ht="15" hidden="false" customHeight="false" outlineLevel="0" collapsed="false">
      <c r="A8" s="17" t="s">
        <v>398</v>
      </c>
      <c r="B8" s="17" t="s">
        <v>7</v>
      </c>
      <c r="C8" s="18" t="n">
        <f aca="false">C63</f>
        <v>6000</v>
      </c>
      <c r="D8" s="18" t="n">
        <f aca="false">J63</f>
        <v>3461.90625</v>
      </c>
      <c r="E8" s="18" t="n">
        <f aca="false">K63</f>
        <v>2538.09375</v>
      </c>
      <c r="F8" s="19" t="n">
        <f aca="false">H63</f>
        <v>351.225</v>
      </c>
      <c r="G8" s="20" t="n">
        <f aca="false">D63</f>
        <v>9.85666239590006</v>
      </c>
      <c r="H8" s="19" t="n">
        <f aca="false">L63</f>
        <v>35.1225</v>
      </c>
      <c r="I8" s="19" t="n">
        <f aca="false">M63</f>
        <v>15.805125</v>
      </c>
      <c r="J8" s="19" t="n">
        <f aca="false">N63</f>
        <v>10.27333125</v>
      </c>
      <c r="K8" s="19" t="n">
        <f aca="false">O63</f>
        <v>8.7323315625</v>
      </c>
      <c r="L8" s="21" t="n">
        <f aca="false">P63</f>
        <v>219.036942131113</v>
      </c>
      <c r="M8" s="21" t="n">
        <f aca="false">Q63</f>
        <v>336.979910970942</v>
      </c>
      <c r="N8" s="21" t="n">
        <f aca="false">R63</f>
        <v>396.446954083462</v>
      </c>
    </row>
    <row r="9" customFormat="false" ht="15" hidden="false" customHeight="false" outlineLevel="0" collapsed="false">
      <c r="A9" s="17" t="s">
        <v>398</v>
      </c>
      <c r="B9" s="17" t="s">
        <v>8</v>
      </c>
      <c r="C9" s="18" t="n">
        <f aca="false">C73</f>
        <v>6000</v>
      </c>
      <c r="D9" s="18" t="n">
        <f aca="false">J73</f>
        <v>6000</v>
      </c>
      <c r="E9" s="18" t="n">
        <f aca="false">K73</f>
        <v>0</v>
      </c>
      <c r="F9" s="19" t="n">
        <f aca="false">H73</f>
        <v>372.902097902098</v>
      </c>
      <c r="G9" s="20" t="n">
        <f aca="false">D73</f>
        <v>16.0900140646976</v>
      </c>
      <c r="H9" s="19" t="n">
        <f aca="false">L73</f>
        <v>52.2062937062937</v>
      </c>
      <c r="I9" s="19" t="n">
        <f aca="false">M73</f>
        <v>31.3237762237762</v>
      </c>
      <c r="J9" s="19" t="n">
        <f aca="false">N73</f>
        <v>25.059020979021</v>
      </c>
      <c r="K9" s="19" t="n">
        <f aca="false">O73</f>
        <v>23.0542993006993</v>
      </c>
      <c r="L9" s="21" t="n">
        <f aca="false">P73</f>
        <v>191.547786484495</v>
      </c>
      <c r="M9" s="21" t="n">
        <f aca="false">Q73</f>
        <v>239.434733105619</v>
      </c>
      <c r="N9" s="21" t="n">
        <f aca="false">R73</f>
        <v>260.255144680021</v>
      </c>
    </row>
    <row r="10" customFormat="false" ht="15" hidden="false" customHeight="false" outlineLevel="0" collapsed="false">
      <c r="A10" s="17" t="s">
        <v>399</v>
      </c>
      <c r="B10" s="17" t="s">
        <v>6</v>
      </c>
      <c r="C10" s="18" t="n">
        <f aca="false">C83</f>
        <v>9000</v>
      </c>
      <c r="D10" s="18" t="n">
        <f aca="false">J83</f>
        <v>558.42</v>
      </c>
      <c r="E10" s="18" t="n">
        <f aca="false">K83</f>
        <v>8441.58</v>
      </c>
      <c r="F10" s="19" t="n">
        <f aca="false">H83</f>
        <v>79.53</v>
      </c>
      <c r="G10" s="20" t="n">
        <f aca="false">D83</f>
        <v>7.02150132025651</v>
      </c>
      <c r="H10" s="19" t="n">
        <f aca="false">L83</f>
        <v>4.7718</v>
      </c>
      <c r="I10" s="19" t="n">
        <f aca="false">M83</f>
        <v>1.43154</v>
      </c>
      <c r="J10" s="19" t="n">
        <f aca="false">N83</f>
        <v>0.71577</v>
      </c>
      <c r="K10" s="19" t="n">
        <f aca="false">O83</f>
        <v>0.5368275</v>
      </c>
      <c r="L10" s="21" t="n">
        <f aca="false">P83</f>
        <v>390.083406680917</v>
      </c>
      <c r="M10" s="21" t="n">
        <f aca="false">Q83</f>
        <v>780.166813361834</v>
      </c>
      <c r="N10" s="21" t="n">
        <f aca="false">R83</f>
        <v>1040.22241781578</v>
      </c>
    </row>
    <row r="11" customFormat="false" ht="15" hidden="false" customHeight="false" outlineLevel="0" collapsed="false">
      <c r="A11" s="17" t="s">
        <v>399</v>
      </c>
      <c r="B11" s="17" t="s">
        <v>7</v>
      </c>
      <c r="C11" s="18" t="n">
        <f aca="false">C93</f>
        <v>9000</v>
      </c>
      <c r="D11" s="18" t="n">
        <f aca="false">J93</f>
        <v>3986.01</v>
      </c>
      <c r="E11" s="18" t="n">
        <f aca="false">K93</f>
        <v>5013.99</v>
      </c>
      <c r="F11" s="19" t="n">
        <f aca="false">H93</f>
        <v>375.61125</v>
      </c>
      <c r="G11" s="20" t="n">
        <f aca="false">D93</f>
        <v>10.6120623383884</v>
      </c>
      <c r="H11" s="19" t="n">
        <f aca="false">L93</f>
        <v>37.561125</v>
      </c>
      <c r="I11" s="19" t="n">
        <f aca="false">M93</f>
        <v>16.90250625</v>
      </c>
      <c r="J11" s="19" t="n">
        <f aca="false">N93</f>
        <v>10.9866290625</v>
      </c>
      <c r="K11" s="19" t="n">
        <f aca="false">O93</f>
        <v>9.338634703125</v>
      </c>
      <c r="L11" s="21" t="n">
        <f aca="false">P93</f>
        <v>235.823607519743</v>
      </c>
      <c r="M11" s="21" t="n">
        <f aca="false">Q93</f>
        <v>362.805550030374</v>
      </c>
      <c r="N11" s="21" t="n">
        <f aca="false">R93</f>
        <v>426.830058859263</v>
      </c>
    </row>
    <row r="12" customFormat="false" ht="15" hidden="false" customHeight="false" outlineLevel="0" collapsed="false">
      <c r="A12" s="17" t="s">
        <v>399</v>
      </c>
      <c r="B12" s="17" t="s">
        <v>8</v>
      </c>
      <c r="C12" s="18" t="n">
        <f aca="false">C103</f>
        <v>9000</v>
      </c>
      <c r="D12" s="18" t="n">
        <f aca="false">J103</f>
        <v>9000</v>
      </c>
      <c r="E12" s="18" t="n">
        <f aca="false">K103</f>
        <v>0</v>
      </c>
      <c r="F12" s="19" t="n">
        <f aca="false">H103</f>
        <v>515.384615384615</v>
      </c>
      <c r="G12" s="20" t="n">
        <f aca="false">D103</f>
        <v>17.4626865671642</v>
      </c>
      <c r="H12" s="19" t="n">
        <f aca="false">L103</f>
        <v>72.1538461538462</v>
      </c>
      <c r="I12" s="19" t="n">
        <f aca="false">M103</f>
        <v>43.2923076923077</v>
      </c>
      <c r="J12" s="19" t="n">
        <f aca="false">N103</f>
        <v>34.6338461538462</v>
      </c>
      <c r="K12" s="19" t="n">
        <f aca="false">O103</f>
        <v>31.8631384615385</v>
      </c>
      <c r="L12" s="21" t="n">
        <f aca="false">P103</f>
        <v>207.889125799574</v>
      </c>
      <c r="M12" s="21" t="n">
        <f aca="false">Q103</f>
        <v>259.861407249467</v>
      </c>
      <c r="N12" s="21" t="n">
        <f aca="false">R103</f>
        <v>282.458051358116</v>
      </c>
    </row>
    <row r="14" customFormat="false" ht="15" hidden="false" customHeight="false" outlineLevel="0" collapsed="false">
      <c r="A14" s="22" t="s">
        <v>400</v>
      </c>
    </row>
    <row r="15" customFormat="false" ht="15" hidden="false" customHeight="false" outlineLevel="0" collapsed="false">
      <c r="A15" s="5" t="s">
        <v>401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customFormat="false" ht="42" hidden="false" customHeight="true" outlineLevel="0" collapsed="false">
      <c r="A16" s="16" t="s">
        <v>402</v>
      </c>
      <c r="B16" s="16" t="s">
        <v>403</v>
      </c>
      <c r="C16" s="16" t="s">
        <v>385</v>
      </c>
      <c r="D16" s="16" t="s">
        <v>404</v>
      </c>
      <c r="E16" s="16" t="s">
        <v>405</v>
      </c>
      <c r="F16" s="16" t="s">
        <v>406</v>
      </c>
      <c r="G16" s="16" t="s">
        <v>407</v>
      </c>
      <c r="H16" s="16" t="s">
        <v>408</v>
      </c>
      <c r="I16" s="16" t="s">
        <v>409</v>
      </c>
      <c r="J16" s="16" t="s">
        <v>386</v>
      </c>
      <c r="K16" s="16" t="s">
        <v>387</v>
      </c>
      <c r="L16" s="16" t="s">
        <v>390</v>
      </c>
      <c r="M16" s="16" t="s">
        <v>391</v>
      </c>
      <c r="N16" s="16" t="s">
        <v>392</v>
      </c>
      <c r="O16" s="16" t="s">
        <v>393</v>
      </c>
      <c r="P16" s="16" t="s">
        <v>394</v>
      </c>
      <c r="Q16" s="16" t="s">
        <v>395</v>
      </c>
      <c r="R16" s="16" t="s">
        <v>396</v>
      </c>
    </row>
    <row r="17" customFormat="false" ht="15" hidden="false" customHeight="false" outlineLevel="0" collapsed="false">
      <c r="A17" s="7" t="s">
        <v>410</v>
      </c>
      <c r="B17" s="23" t="n">
        <f aca="false">Assumptions!$D$60</f>
        <v>0.45</v>
      </c>
      <c r="C17" s="18" t="n">
        <f aca="false">Assumptions!$D$56*B17</f>
        <v>1350</v>
      </c>
      <c r="D17" s="20" t="n">
        <f aca="false">Assumptions!$D$32</f>
        <v>7</v>
      </c>
      <c r="E17" s="24" t="n">
        <f aca="false">(Assumptions!$D$7+Assumptions!$D$14*Assumptions!$D$28)*Assumptions!$D$21</f>
        <v>800</v>
      </c>
      <c r="F17" s="19" t="n">
        <f aca="false">E17*Assumptions!$D$22*Assumptions!$D$24</f>
        <v>19.2</v>
      </c>
      <c r="G17" s="19" t="n">
        <f aca="false">IFERROR(C17/D17,0)</f>
        <v>192.857142857143</v>
      </c>
      <c r="H17" s="19" t="n">
        <f aca="false">MIN(F17,G17)</f>
        <v>19.2</v>
      </c>
      <c r="I17" s="17" t="str">
        <f aca="false">IF(G17&gt;F17,"Yes","No")</f>
        <v>Yes</v>
      </c>
      <c r="J17" s="18" t="n">
        <f aca="false">H17*D17</f>
        <v>134.4</v>
      </c>
      <c r="K17" s="18" t="n">
        <f aca="false">C17-J17</f>
        <v>1215.6</v>
      </c>
      <c r="L17" s="19" t="n">
        <f aca="false">H17*Assumptions!$D$51</f>
        <v>1.152</v>
      </c>
      <c r="M17" s="19" t="n">
        <f aca="false">L17*Assumptions!$D$52</f>
        <v>0.3456</v>
      </c>
      <c r="N17" s="19" t="n">
        <f aca="false">M17*Assumptions!$D$53</f>
        <v>0.1728</v>
      </c>
      <c r="O17" s="19" t="n">
        <f aca="false">N17*Assumptions!$D$54</f>
        <v>0.1296</v>
      </c>
      <c r="P17" s="21" t="n">
        <f aca="false">IF(M17&gt;0,J17/M17,0)</f>
        <v>388.888888888889</v>
      </c>
      <c r="Q17" s="21" t="n">
        <f aca="false">IF(N17&gt;0,J17/N17,0)</f>
        <v>777.777777777778</v>
      </c>
      <c r="R17" s="21" t="n">
        <f aca="false">IF(O17&gt;0,J17/O17,0)</f>
        <v>1037.03703703704</v>
      </c>
    </row>
    <row r="18" customFormat="false" ht="15" hidden="false" customHeight="false" outlineLevel="0" collapsed="false">
      <c r="A18" s="7" t="s">
        <v>411</v>
      </c>
      <c r="B18" s="23" t="n">
        <f aca="false">Assumptions!$D$61</f>
        <v>0.4</v>
      </c>
      <c r="C18" s="18" t="n">
        <f aca="false">Assumptions!$D$56*B18</f>
        <v>1200</v>
      </c>
      <c r="D18" s="20" t="n">
        <f aca="false">Assumptions!$D$33</f>
        <v>7</v>
      </c>
      <c r="E18" s="24" t="n">
        <f aca="false">(Assumptions!$D$8+Assumptions!$D$15*Assumptions!$D$28)*Assumptions!$D$21</f>
        <v>1000</v>
      </c>
      <c r="F18" s="19" t="n">
        <f aca="false">E18*Assumptions!$D$22*Assumptions!$D$24</f>
        <v>24</v>
      </c>
      <c r="G18" s="19" t="n">
        <f aca="false">IFERROR(C18/D18,0)</f>
        <v>171.428571428571</v>
      </c>
      <c r="H18" s="19" t="n">
        <f aca="false">MIN(F18,G18)</f>
        <v>24</v>
      </c>
      <c r="I18" s="17" t="str">
        <f aca="false">IF(G18&gt;F18,"Yes","No")</f>
        <v>Yes</v>
      </c>
      <c r="J18" s="18" t="n">
        <f aca="false">H18*D18</f>
        <v>168</v>
      </c>
      <c r="K18" s="18" t="n">
        <f aca="false">C18-J18</f>
        <v>1032</v>
      </c>
      <c r="L18" s="19" t="n">
        <f aca="false">H18*Assumptions!$D$51</f>
        <v>1.44</v>
      </c>
      <c r="M18" s="19" t="n">
        <f aca="false">L18*Assumptions!$D$52</f>
        <v>0.432</v>
      </c>
      <c r="N18" s="19" t="n">
        <f aca="false">M18*Assumptions!$D$53</f>
        <v>0.216</v>
      </c>
      <c r="O18" s="19" t="n">
        <f aca="false">N18*Assumptions!$D$54</f>
        <v>0.162</v>
      </c>
      <c r="P18" s="21" t="n">
        <f aca="false">IF(M18&gt;0,J18/M18,0)</f>
        <v>388.888888888889</v>
      </c>
      <c r="Q18" s="21" t="n">
        <f aca="false">IF(N18&gt;0,J18/N18,0)</f>
        <v>777.777777777778</v>
      </c>
      <c r="R18" s="21" t="n">
        <f aca="false">IF(O18&gt;0,J18/O18,0)</f>
        <v>1037.03703703704</v>
      </c>
    </row>
    <row r="19" customFormat="false" ht="15" hidden="false" customHeight="false" outlineLevel="0" collapsed="false">
      <c r="A19" s="7" t="s">
        <v>412</v>
      </c>
      <c r="B19" s="23" t="n">
        <f aca="false">Assumptions!$D$62</f>
        <v>0.15</v>
      </c>
      <c r="C19" s="18" t="n">
        <f aca="false">Assumptions!$D$56*B19</f>
        <v>450</v>
      </c>
      <c r="D19" s="20" t="n">
        <f aca="false">Assumptions!$D$34</f>
        <v>5</v>
      </c>
      <c r="E19" s="24" t="n">
        <f aca="false">(Assumptions!$D$9+Assumptions!$D$16*Assumptions!$D$28)*Assumptions!$D$21</f>
        <v>120</v>
      </c>
      <c r="F19" s="19" t="n">
        <f aca="false">E19*Assumptions!$D$22*Assumptions!$D$24</f>
        <v>2.88</v>
      </c>
      <c r="G19" s="19" t="n">
        <f aca="false">IFERROR(C19/D19,0)</f>
        <v>90</v>
      </c>
      <c r="H19" s="19" t="n">
        <f aca="false">MIN(F19,G19)</f>
        <v>2.88</v>
      </c>
      <c r="I19" s="17" t="str">
        <f aca="false">IF(G19&gt;F19,"Yes","No")</f>
        <v>Yes</v>
      </c>
      <c r="J19" s="18" t="n">
        <f aca="false">H19*D19</f>
        <v>14.4</v>
      </c>
      <c r="K19" s="18" t="n">
        <f aca="false">C19-J19</f>
        <v>435.6</v>
      </c>
      <c r="L19" s="19" t="n">
        <f aca="false">H19*Assumptions!$D$51</f>
        <v>0.1728</v>
      </c>
      <c r="M19" s="19" t="n">
        <f aca="false">L19*Assumptions!$D$52</f>
        <v>0.05184</v>
      </c>
      <c r="N19" s="19" t="n">
        <f aca="false">M19*Assumptions!$D$53</f>
        <v>0.02592</v>
      </c>
      <c r="O19" s="19" t="n">
        <f aca="false">N19*Assumptions!$D$54</f>
        <v>0.01944</v>
      </c>
      <c r="P19" s="21" t="n">
        <f aca="false">IF(M19&gt;0,J19/M19,0)</f>
        <v>277.777777777778</v>
      </c>
      <c r="Q19" s="21" t="n">
        <f aca="false">IF(N19&gt;0,J19/N19,0)</f>
        <v>555.555555555556</v>
      </c>
      <c r="R19" s="21" t="n">
        <f aca="false">IF(O19&gt;0,J19/O19,0)</f>
        <v>740.740740740741</v>
      </c>
    </row>
    <row r="20" customFormat="false" ht="15" hidden="false" customHeight="false" outlineLevel="0" collapsed="false">
      <c r="A20" s="7" t="s">
        <v>312</v>
      </c>
      <c r="B20" s="23" t="n">
        <f aca="false">Assumptions!$D$63</f>
        <v>0</v>
      </c>
      <c r="C20" s="18" t="n">
        <f aca="false">Assumptions!$D$56*B20</f>
        <v>0</v>
      </c>
      <c r="D20" s="20" t="n">
        <f aca="false">Assumptions!$D$35</f>
        <v>5</v>
      </c>
      <c r="E20" s="24" t="n">
        <f aca="false">(Assumptions!$D$10+Assumptions!$D$17*Assumptions!$D$28)*Assumptions!$D$21</f>
        <v>350</v>
      </c>
      <c r="F20" s="19" t="n">
        <f aca="false">E20*Assumptions!$D$22*Assumptions!$D$24</f>
        <v>8.4</v>
      </c>
      <c r="G20" s="19" t="n">
        <f aca="false">IFERROR(C20/D20,0)</f>
        <v>0</v>
      </c>
      <c r="H20" s="19" t="n">
        <f aca="false">MIN(F20,G20)</f>
        <v>0</v>
      </c>
      <c r="I20" s="17" t="str">
        <f aca="false">IF(G20&gt;F20,"Yes","No")</f>
        <v>No</v>
      </c>
      <c r="J20" s="18" t="n">
        <f aca="false">H20*D20</f>
        <v>0</v>
      </c>
      <c r="K20" s="18" t="n">
        <f aca="false">C20-J20</f>
        <v>0</v>
      </c>
      <c r="L20" s="19" t="n">
        <f aca="false">H20*Assumptions!$D$51</f>
        <v>0</v>
      </c>
      <c r="M20" s="19" t="n">
        <f aca="false">L20*Assumptions!$D$52</f>
        <v>0</v>
      </c>
      <c r="N20" s="19" t="n">
        <f aca="false">M20*Assumptions!$D$53</f>
        <v>0</v>
      </c>
      <c r="O20" s="19" t="n">
        <f aca="false">N20*Assumptions!$D$54</f>
        <v>0</v>
      </c>
      <c r="P20" s="21" t="n">
        <f aca="false">IF(M20&gt;0,J20/M20,0)</f>
        <v>0</v>
      </c>
      <c r="Q20" s="21" t="n">
        <f aca="false">IF(N20&gt;0,J20/N20,0)</f>
        <v>0</v>
      </c>
      <c r="R20" s="21" t="n">
        <f aca="false">IF(O20&gt;0,J20/O20,0)</f>
        <v>0</v>
      </c>
    </row>
    <row r="21" customFormat="false" ht="15" hidden="false" customHeight="false" outlineLevel="0" collapsed="false">
      <c r="A21" s="7" t="s">
        <v>413</v>
      </c>
      <c r="B21" s="23" t="n">
        <f aca="false">Assumptions!$D$64</f>
        <v>0</v>
      </c>
      <c r="C21" s="18" t="n">
        <f aca="false">Assumptions!$D$56*B21</f>
        <v>0</v>
      </c>
      <c r="D21" s="20" t="n">
        <f aca="false">Assumptions!$D$36</f>
        <v>4</v>
      </c>
      <c r="E21" s="24" t="n">
        <f aca="false">(Assumptions!$D$11+Assumptions!$D$18*Assumptions!$D$28)*Assumptions!$D$21</f>
        <v>250</v>
      </c>
      <c r="F21" s="19" t="n">
        <f aca="false">E21*Assumptions!$D$22*Assumptions!$D$24</f>
        <v>6</v>
      </c>
      <c r="G21" s="19" t="n">
        <f aca="false">IFERROR(C21/D21,0)</f>
        <v>0</v>
      </c>
      <c r="H21" s="19" t="n">
        <f aca="false">MIN(F21,G21)</f>
        <v>0</v>
      </c>
      <c r="I21" s="17" t="str">
        <f aca="false">IF(G21&gt;F21,"Yes","No")</f>
        <v>No</v>
      </c>
      <c r="J21" s="18" t="n">
        <f aca="false">H21*D21</f>
        <v>0</v>
      </c>
      <c r="K21" s="18" t="n">
        <f aca="false">C21-J21</f>
        <v>0</v>
      </c>
      <c r="L21" s="19" t="n">
        <f aca="false">H21*Assumptions!$D$51</f>
        <v>0</v>
      </c>
      <c r="M21" s="19" t="n">
        <f aca="false">L21*Assumptions!$D$52</f>
        <v>0</v>
      </c>
      <c r="N21" s="19" t="n">
        <f aca="false">M21*Assumptions!$D$53</f>
        <v>0</v>
      </c>
      <c r="O21" s="19" t="n">
        <f aca="false">N21*Assumptions!$D$54</f>
        <v>0</v>
      </c>
      <c r="P21" s="21" t="n">
        <f aca="false">IF(M21&gt;0,J21/M21,0)</f>
        <v>0</v>
      </c>
      <c r="Q21" s="21" t="n">
        <f aca="false">IF(N21&gt;0,J21/N21,0)</f>
        <v>0</v>
      </c>
      <c r="R21" s="21" t="n">
        <f aca="false">IF(O21&gt;0,J21/O21,0)</f>
        <v>0</v>
      </c>
    </row>
    <row r="22" customFormat="false" ht="15" hidden="false" customHeight="false" outlineLevel="0" collapsed="false">
      <c r="A22" s="7" t="s">
        <v>414</v>
      </c>
      <c r="B22" s="23" t="n">
        <f aca="false">Assumptions!$D$65</f>
        <v>0</v>
      </c>
      <c r="C22" s="18" t="n">
        <f aca="false">Assumptions!$D$56*B22</f>
        <v>0</v>
      </c>
      <c r="D22" s="20" t="n">
        <f aca="false">Assumptions!$D$37</f>
        <v>5</v>
      </c>
      <c r="E22" s="24" t="n">
        <f aca="false">(Assumptions!$D$12+Assumptions!$D$19*Assumptions!$D$28)*Assumptions!$D$21</f>
        <v>270</v>
      </c>
      <c r="F22" s="19" t="n">
        <f aca="false">E22*Assumptions!$D$22*Assumptions!$D$24</f>
        <v>6.48</v>
      </c>
      <c r="G22" s="19" t="n">
        <f aca="false">IFERROR(C22/D22,0)</f>
        <v>0</v>
      </c>
      <c r="H22" s="19" t="n">
        <f aca="false">MIN(F22,G22)</f>
        <v>0</v>
      </c>
      <c r="I22" s="17" t="str">
        <f aca="false">IF(G22&gt;F22,"Yes","No")</f>
        <v>No</v>
      </c>
      <c r="J22" s="18" t="n">
        <f aca="false">H22*D22</f>
        <v>0</v>
      </c>
      <c r="K22" s="18" t="n">
        <f aca="false">C22-J22</f>
        <v>0</v>
      </c>
      <c r="L22" s="19" t="n">
        <f aca="false">H22*Assumptions!$D$51</f>
        <v>0</v>
      </c>
      <c r="M22" s="19" t="n">
        <f aca="false">L22*Assumptions!$D$52</f>
        <v>0</v>
      </c>
      <c r="N22" s="19" t="n">
        <f aca="false">M22*Assumptions!$D$53</f>
        <v>0</v>
      </c>
      <c r="O22" s="19" t="n">
        <f aca="false">N22*Assumptions!$D$54</f>
        <v>0</v>
      </c>
      <c r="P22" s="21" t="n">
        <f aca="false">IF(M22&gt;0,J22/M22,0)</f>
        <v>0</v>
      </c>
      <c r="Q22" s="21" t="n">
        <f aca="false">IF(N22&gt;0,J22/N22,0)</f>
        <v>0</v>
      </c>
      <c r="R22" s="21" t="n">
        <f aca="false">IF(O22&gt;0,J22/O22,0)</f>
        <v>0</v>
      </c>
    </row>
    <row r="23" customFormat="false" ht="15" hidden="false" customHeight="false" outlineLevel="0" collapsed="false">
      <c r="A23" s="25" t="s">
        <v>415</v>
      </c>
      <c r="B23" s="26" t="n">
        <f aca="false">SUM(B17:B22)</f>
        <v>1</v>
      </c>
      <c r="C23" s="27" t="n">
        <f aca="false">SUM(C17:C22)</f>
        <v>3000</v>
      </c>
      <c r="D23" s="28" t="n">
        <f aca="false">IF(H23&gt;0,J23/H23,0)</f>
        <v>6.875</v>
      </c>
      <c r="E23" s="29" t="n">
        <f aca="false">SUM(E17:E22)</f>
        <v>2790</v>
      </c>
      <c r="F23" s="30" t="n">
        <f aca="false">SUM(F17:F22)</f>
        <v>66.96</v>
      </c>
      <c r="G23" s="30" t="n">
        <f aca="false">SUM(G17:G22)</f>
        <v>454.285714285714</v>
      </c>
      <c r="H23" s="30" t="n">
        <f aca="false">SUM(H17:H22)</f>
        <v>46.08</v>
      </c>
      <c r="I23" s="31" t="str">
        <f aca="false">IF(COUNTIF(I17:I22,"Yes")&gt;0,"Yes, some","No")</f>
        <v>Yes, some</v>
      </c>
      <c r="J23" s="27" t="n">
        <f aca="false">SUM(J17:J22)</f>
        <v>316.8</v>
      </c>
      <c r="K23" s="27" t="n">
        <f aca="false">SUM(K17:K22)</f>
        <v>2683.2</v>
      </c>
      <c r="L23" s="30" t="n">
        <f aca="false">SUM(L17:L22)</f>
        <v>2.7648</v>
      </c>
      <c r="M23" s="30" t="n">
        <f aca="false">SUM(M17:M22)</f>
        <v>0.82944</v>
      </c>
      <c r="N23" s="30" t="n">
        <f aca="false">SUM(N17:N22)</f>
        <v>0.41472</v>
      </c>
      <c r="O23" s="30" t="n">
        <f aca="false">SUM(O17:O22)</f>
        <v>0.31104</v>
      </c>
      <c r="P23" s="32" t="n">
        <f aca="false">IF(M23&gt;0,J23/M23,0)</f>
        <v>381.944444444444</v>
      </c>
      <c r="Q23" s="32" t="n">
        <f aca="false">IF(N23&gt;0,J23/N23,0)</f>
        <v>763.888888888889</v>
      </c>
      <c r="R23" s="32" t="n">
        <f aca="false">IF(O23&gt;0,J23/O23,0)</f>
        <v>1018.51851851852</v>
      </c>
    </row>
    <row r="25" customFormat="false" ht="15" hidden="false" customHeight="false" outlineLevel="0" collapsed="false">
      <c r="A25" s="5" t="s">
        <v>416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customFormat="false" ht="42" hidden="false" customHeight="true" outlineLevel="0" collapsed="false">
      <c r="A26" s="16" t="s">
        <v>402</v>
      </c>
      <c r="B26" s="16" t="s">
        <v>403</v>
      </c>
      <c r="C26" s="16" t="s">
        <v>385</v>
      </c>
      <c r="D26" s="16" t="s">
        <v>404</v>
      </c>
      <c r="E26" s="16" t="s">
        <v>405</v>
      </c>
      <c r="F26" s="16" t="s">
        <v>406</v>
      </c>
      <c r="G26" s="16" t="s">
        <v>407</v>
      </c>
      <c r="H26" s="16" t="s">
        <v>408</v>
      </c>
      <c r="I26" s="16" t="s">
        <v>409</v>
      </c>
      <c r="J26" s="16" t="s">
        <v>386</v>
      </c>
      <c r="K26" s="16" t="s">
        <v>387</v>
      </c>
      <c r="L26" s="16" t="s">
        <v>390</v>
      </c>
      <c r="M26" s="16" t="s">
        <v>391</v>
      </c>
      <c r="N26" s="16" t="s">
        <v>392</v>
      </c>
      <c r="O26" s="16" t="s">
        <v>393</v>
      </c>
      <c r="P26" s="16" t="s">
        <v>394</v>
      </c>
      <c r="Q26" s="16" t="s">
        <v>395</v>
      </c>
      <c r="R26" s="16" t="s">
        <v>396</v>
      </c>
    </row>
    <row r="27" customFormat="false" ht="15" hidden="false" customHeight="false" outlineLevel="0" collapsed="false">
      <c r="A27" s="7" t="s">
        <v>410</v>
      </c>
      <c r="B27" s="23" t="n">
        <f aca="false">Assumptions!$E$60</f>
        <v>0.45</v>
      </c>
      <c r="C27" s="18" t="n">
        <f aca="false">Assumptions!$E$56*B27</f>
        <v>1350</v>
      </c>
      <c r="D27" s="20" t="n">
        <f aca="false">Assumptions!$E$32</f>
        <v>10</v>
      </c>
      <c r="E27" s="24" t="n">
        <f aca="false">(Assumptions!$E$7+Assumptions!$E$14*Assumptions!$E$28)*Assumptions!$E$21</f>
        <v>1750</v>
      </c>
      <c r="F27" s="19" t="n">
        <f aca="false">E27*Assumptions!$E$22*Assumptions!$E$24</f>
        <v>84</v>
      </c>
      <c r="G27" s="19" t="n">
        <f aca="false">IFERROR(C27/D27,0)</f>
        <v>135</v>
      </c>
      <c r="H27" s="19" t="n">
        <f aca="false">MIN(F27,G27)</f>
        <v>84</v>
      </c>
      <c r="I27" s="17" t="str">
        <f aca="false">IF(G27&gt;F27,"Yes","No")</f>
        <v>Yes</v>
      </c>
      <c r="J27" s="18" t="n">
        <f aca="false">H27*D27</f>
        <v>840</v>
      </c>
      <c r="K27" s="18" t="n">
        <f aca="false">C27-J27</f>
        <v>510</v>
      </c>
      <c r="L27" s="19" t="n">
        <f aca="false">H27*Assumptions!$E$51</f>
        <v>8.4</v>
      </c>
      <c r="M27" s="19" t="n">
        <f aca="false">L27*Assumptions!$E$52</f>
        <v>3.78</v>
      </c>
      <c r="N27" s="19" t="n">
        <f aca="false">M27*Assumptions!$E$53</f>
        <v>2.457</v>
      </c>
      <c r="O27" s="19" t="n">
        <f aca="false">N27*Assumptions!$E$54</f>
        <v>2.08845</v>
      </c>
      <c r="P27" s="21" t="n">
        <f aca="false">IF(M27&gt;0,J27/M27,0)</f>
        <v>222.222222222222</v>
      </c>
      <c r="Q27" s="21" t="n">
        <f aca="false">IF(N27&gt;0,J27/N27,0)</f>
        <v>341.880341880342</v>
      </c>
      <c r="R27" s="21" t="n">
        <f aca="false">IF(O27&gt;0,J27/O27,0)</f>
        <v>402.212166918049</v>
      </c>
    </row>
    <row r="28" customFormat="false" ht="15" hidden="false" customHeight="false" outlineLevel="0" collapsed="false">
      <c r="A28" s="7" t="s">
        <v>411</v>
      </c>
      <c r="B28" s="23" t="n">
        <f aca="false">Assumptions!$E$61</f>
        <v>0.4</v>
      </c>
      <c r="C28" s="18" t="n">
        <f aca="false">Assumptions!$E$56*B28</f>
        <v>1200</v>
      </c>
      <c r="D28" s="20" t="n">
        <f aca="false">Assumptions!$E$33</f>
        <v>10</v>
      </c>
      <c r="E28" s="24" t="n">
        <f aca="false">(Assumptions!$E$8+Assumptions!$E$15*Assumptions!$E$28)*Assumptions!$E$21</f>
        <v>2250</v>
      </c>
      <c r="F28" s="19" t="n">
        <f aca="false">E28*Assumptions!$E$22*Assumptions!$E$24</f>
        <v>108</v>
      </c>
      <c r="G28" s="19" t="n">
        <f aca="false">IFERROR(C28/D28,0)</f>
        <v>120</v>
      </c>
      <c r="H28" s="19" t="n">
        <f aca="false">MIN(F28,G28)</f>
        <v>108</v>
      </c>
      <c r="I28" s="17" t="str">
        <f aca="false">IF(G28&gt;F28,"Yes","No")</f>
        <v>Yes</v>
      </c>
      <c r="J28" s="18" t="n">
        <f aca="false">H28*D28</f>
        <v>1080</v>
      </c>
      <c r="K28" s="18" t="n">
        <f aca="false">C28-J28</f>
        <v>120</v>
      </c>
      <c r="L28" s="19" t="n">
        <f aca="false">H28*Assumptions!$E$51</f>
        <v>10.8</v>
      </c>
      <c r="M28" s="19" t="n">
        <f aca="false">L28*Assumptions!$E$52</f>
        <v>4.86</v>
      </c>
      <c r="N28" s="19" t="n">
        <f aca="false">M28*Assumptions!$E$53</f>
        <v>3.159</v>
      </c>
      <c r="O28" s="19" t="n">
        <f aca="false">N28*Assumptions!$E$54</f>
        <v>2.68515</v>
      </c>
      <c r="P28" s="21" t="n">
        <f aca="false">IF(M28&gt;0,J28/M28,0)</f>
        <v>222.222222222222</v>
      </c>
      <c r="Q28" s="21" t="n">
        <f aca="false">IF(N28&gt;0,J28/N28,0)</f>
        <v>341.880341880342</v>
      </c>
      <c r="R28" s="21" t="n">
        <f aca="false">IF(O28&gt;0,J28/O28,0)</f>
        <v>402.212166918049</v>
      </c>
    </row>
    <row r="29" customFormat="false" ht="15" hidden="false" customHeight="false" outlineLevel="0" collapsed="false">
      <c r="A29" s="7" t="s">
        <v>412</v>
      </c>
      <c r="B29" s="23" t="n">
        <f aca="false">Assumptions!$E$62</f>
        <v>0.15</v>
      </c>
      <c r="C29" s="18" t="n">
        <f aca="false">Assumptions!$E$56*B29</f>
        <v>450</v>
      </c>
      <c r="D29" s="20" t="n">
        <f aca="false">Assumptions!$E$34</f>
        <v>8</v>
      </c>
      <c r="E29" s="24" t="n">
        <f aca="false">(Assumptions!$E$9+Assumptions!$E$16*Assumptions!$E$28)*Assumptions!$E$21</f>
        <v>337.5</v>
      </c>
      <c r="F29" s="19" t="n">
        <f aca="false">E29*Assumptions!$E$22*Assumptions!$E$24</f>
        <v>16.2</v>
      </c>
      <c r="G29" s="19" t="n">
        <f aca="false">IFERROR(C29/D29,0)</f>
        <v>56.25</v>
      </c>
      <c r="H29" s="19" t="n">
        <f aca="false">MIN(F29,G29)</f>
        <v>16.2</v>
      </c>
      <c r="I29" s="17" t="str">
        <f aca="false">IF(G29&gt;F29,"Yes","No")</f>
        <v>Yes</v>
      </c>
      <c r="J29" s="18" t="n">
        <f aca="false">H29*D29</f>
        <v>129.6</v>
      </c>
      <c r="K29" s="18" t="n">
        <f aca="false">C29-J29</f>
        <v>320.4</v>
      </c>
      <c r="L29" s="19" t="n">
        <f aca="false">H29*Assumptions!$E$51</f>
        <v>1.62</v>
      </c>
      <c r="M29" s="19" t="n">
        <f aca="false">L29*Assumptions!$E$52</f>
        <v>0.729</v>
      </c>
      <c r="N29" s="19" t="n">
        <f aca="false">M29*Assumptions!$E$53</f>
        <v>0.47385</v>
      </c>
      <c r="O29" s="19" t="n">
        <f aca="false">N29*Assumptions!$E$54</f>
        <v>0.4027725</v>
      </c>
      <c r="P29" s="21" t="n">
        <f aca="false">IF(M29&gt;0,J29/M29,0)</f>
        <v>177.777777777778</v>
      </c>
      <c r="Q29" s="21" t="n">
        <f aca="false">IF(N29&gt;0,J29/N29,0)</f>
        <v>273.504273504273</v>
      </c>
      <c r="R29" s="21" t="n">
        <f aca="false">IF(O29&gt;0,J29/O29,0)</f>
        <v>321.769733534439</v>
      </c>
    </row>
    <row r="30" customFormat="false" ht="15" hidden="false" customHeight="false" outlineLevel="0" collapsed="false">
      <c r="A30" s="7" t="s">
        <v>312</v>
      </c>
      <c r="B30" s="23" t="n">
        <f aca="false">Assumptions!$E$63</f>
        <v>0</v>
      </c>
      <c r="C30" s="18" t="n">
        <f aca="false">Assumptions!$E$56*B30</f>
        <v>0</v>
      </c>
      <c r="D30" s="20" t="n">
        <f aca="false">Assumptions!$E$35</f>
        <v>8</v>
      </c>
      <c r="E30" s="24" t="n">
        <f aca="false">(Assumptions!$E$10+Assumptions!$E$17*Assumptions!$E$28)*Assumptions!$E$21</f>
        <v>775</v>
      </c>
      <c r="F30" s="19" t="n">
        <f aca="false">E30*Assumptions!$E$22*Assumptions!$E$24</f>
        <v>37.2</v>
      </c>
      <c r="G30" s="19" t="n">
        <f aca="false">IFERROR(C30/D30,0)</f>
        <v>0</v>
      </c>
      <c r="H30" s="19" t="n">
        <f aca="false">MIN(F30,G30)</f>
        <v>0</v>
      </c>
      <c r="I30" s="17" t="str">
        <f aca="false">IF(G30&gt;F30,"Yes","No")</f>
        <v>No</v>
      </c>
      <c r="J30" s="18" t="n">
        <f aca="false">H30*D30</f>
        <v>0</v>
      </c>
      <c r="K30" s="18" t="n">
        <f aca="false">C30-J30</f>
        <v>0</v>
      </c>
      <c r="L30" s="19" t="n">
        <f aca="false">H30*Assumptions!$E$51</f>
        <v>0</v>
      </c>
      <c r="M30" s="19" t="n">
        <f aca="false">L30*Assumptions!$E$52</f>
        <v>0</v>
      </c>
      <c r="N30" s="19" t="n">
        <f aca="false">M30*Assumptions!$E$53</f>
        <v>0</v>
      </c>
      <c r="O30" s="19" t="n">
        <f aca="false">N30*Assumptions!$E$54</f>
        <v>0</v>
      </c>
      <c r="P30" s="21" t="n">
        <f aca="false">IF(M30&gt;0,J30/M30,0)</f>
        <v>0</v>
      </c>
      <c r="Q30" s="21" t="n">
        <f aca="false">IF(N30&gt;0,J30/N30,0)</f>
        <v>0</v>
      </c>
      <c r="R30" s="21" t="n">
        <f aca="false">IF(O30&gt;0,J30/O30,0)</f>
        <v>0</v>
      </c>
    </row>
    <row r="31" customFormat="false" ht="15" hidden="false" customHeight="false" outlineLevel="0" collapsed="false">
      <c r="A31" s="7" t="s">
        <v>413</v>
      </c>
      <c r="B31" s="23" t="n">
        <f aca="false">Assumptions!$E$64</f>
        <v>0</v>
      </c>
      <c r="C31" s="18" t="n">
        <f aca="false">Assumptions!$E$56*B31</f>
        <v>0</v>
      </c>
      <c r="D31" s="20" t="n">
        <f aca="false">Assumptions!$E$36</f>
        <v>7</v>
      </c>
      <c r="E31" s="24" t="n">
        <f aca="false">(Assumptions!$E$11+Assumptions!$E$18*Assumptions!$E$28)*Assumptions!$E$21</f>
        <v>562.5</v>
      </c>
      <c r="F31" s="19" t="n">
        <f aca="false">E31*Assumptions!$E$22*Assumptions!$E$24</f>
        <v>27</v>
      </c>
      <c r="G31" s="19" t="n">
        <f aca="false">IFERROR(C31/D31,0)</f>
        <v>0</v>
      </c>
      <c r="H31" s="19" t="n">
        <f aca="false">MIN(F31,G31)</f>
        <v>0</v>
      </c>
      <c r="I31" s="17" t="str">
        <f aca="false">IF(G31&gt;F31,"Yes","No")</f>
        <v>No</v>
      </c>
      <c r="J31" s="18" t="n">
        <f aca="false">H31*D31</f>
        <v>0</v>
      </c>
      <c r="K31" s="18" t="n">
        <f aca="false">C31-J31</f>
        <v>0</v>
      </c>
      <c r="L31" s="19" t="n">
        <f aca="false">H31*Assumptions!$E$51</f>
        <v>0</v>
      </c>
      <c r="M31" s="19" t="n">
        <f aca="false">L31*Assumptions!$E$52</f>
        <v>0</v>
      </c>
      <c r="N31" s="19" t="n">
        <f aca="false">M31*Assumptions!$E$53</f>
        <v>0</v>
      </c>
      <c r="O31" s="19" t="n">
        <f aca="false">N31*Assumptions!$E$54</f>
        <v>0</v>
      </c>
      <c r="P31" s="21" t="n">
        <f aca="false">IF(M31&gt;0,J31/M31,0)</f>
        <v>0</v>
      </c>
      <c r="Q31" s="21" t="n">
        <f aca="false">IF(N31&gt;0,J31/N31,0)</f>
        <v>0</v>
      </c>
      <c r="R31" s="21" t="n">
        <f aca="false">IF(O31&gt;0,J31/O31,0)</f>
        <v>0</v>
      </c>
    </row>
    <row r="32" customFormat="false" ht="15" hidden="false" customHeight="false" outlineLevel="0" collapsed="false">
      <c r="A32" s="7" t="s">
        <v>414</v>
      </c>
      <c r="B32" s="23" t="n">
        <f aca="false">Assumptions!$E$65</f>
        <v>0</v>
      </c>
      <c r="C32" s="18" t="n">
        <f aca="false">Assumptions!$E$56*B32</f>
        <v>0</v>
      </c>
      <c r="D32" s="20" t="n">
        <f aca="false">Assumptions!$E$37</f>
        <v>8</v>
      </c>
      <c r="E32" s="24" t="n">
        <f aca="false">(Assumptions!$E$12+Assumptions!$E$19*Assumptions!$E$28)*Assumptions!$E$21</f>
        <v>612.5</v>
      </c>
      <c r="F32" s="19" t="n">
        <f aca="false">E32*Assumptions!$E$22*Assumptions!$E$24</f>
        <v>29.4</v>
      </c>
      <c r="G32" s="19" t="n">
        <f aca="false">IFERROR(C32/D32,0)</f>
        <v>0</v>
      </c>
      <c r="H32" s="19" t="n">
        <f aca="false">MIN(F32,G32)</f>
        <v>0</v>
      </c>
      <c r="I32" s="17" t="str">
        <f aca="false">IF(G32&gt;F32,"Yes","No")</f>
        <v>No</v>
      </c>
      <c r="J32" s="18" t="n">
        <f aca="false">H32*D32</f>
        <v>0</v>
      </c>
      <c r="K32" s="18" t="n">
        <f aca="false">C32-J32</f>
        <v>0</v>
      </c>
      <c r="L32" s="19" t="n">
        <f aca="false">H32*Assumptions!$E$51</f>
        <v>0</v>
      </c>
      <c r="M32" s="19" t="n">
        <f aca="false">L32*Assumptions!$E$52</f>
        <v>0</v>
      </c>
      <c r="N32" s="19" t="n">
        <f aca="false">M32*Assumptions!$E$53</f>
        <v>0</v>
      </c>
      <c r="O32" s="19" t="n">
        <f aca="false">N32*Assumptions!$E$54</f>
        <v>0</v>
      </c>
      <c r="P32" s="21" t="n">
        <f aca="false">IF(M32&gt;0,J32/M32,0)</f>
        <v>0</v>
      </c>
      <c r="Q32" s="21" t="n">
        <f aca="false">IF(N32&gt;0,J32/N32,0)</f>
        <v>0</v>
      </c>
      <c r="R32" s="21" t="n">
        <f aca="false">IF(O32&gt;0,J32/O32,0)</f>
        <v>0</v>
      </c>
    </row>
    <row r="33" customFormat="false" ht="15" hidden="false" customHeight="false" outlineLevel="0" collapsed="false">
      <c r="A33" s="25" t="s">
        <v>415</v>
      </c>
      <c r="B33" s="26" t="n">
        <f aca="false">SUM(B27:B32)</f>
        <v>1</v>
      </c>
      <c r="C33" s="27" t="n">
        <f aca="false">SUM(C27:C32)</f>
        <v>3000</v>
      </c>
      <c r="D33" s="28" t="n">
        <f aca="false">IF(H33&gt;0,J33/H33,0)</f>
        <v>9.84438040345821</v>
      </c>
      <c r="E33" s="29" t="n">
        <f aca="false">SUM(E27:E32)</f>
        <v>6287.5</v>
      </c>
      <c r="F33" s="30" t="n">
        <f aca="false">SUM(F27:F32)</f>
        <v>301.8</v>
      </c>
      <c r="G33" s="30" t="n">
        <f aca="false">SUM(G27:G32)</f>
        <v>311.25</v>
      </c>
      <c r="H33" s="30" t="n">
        <f aca="false">SUM(H27:H32)</f>
        <v>208.2</v>
      </c>
      <c r="I33" s="31" t="str">
        <f aca="false">IF(COUNTIF(I27:I32,"Yes")&gt;0,"Yes, some","No")</f>
        <v>Yes, some</v>
      </c>
      <c r="J33" s="27" t="n">
        <f aca="false">SUM(J27:J32)</f>
        <v>2049.6</v>
      </c>
      <c r="K33" s="27" t="n">
        <f aca="false">SUM(K27:K32)</f>
        <v>950.4</v>
      </c>
      <c r="L33" s="30" t="n">
        <f aca="false">SUM(L27:L32)</f>
        <v>20.82</v>
      </c>
      <c r="M33" s="30" t="n">
        <f aca="false">SUM(M27:M32)</f>
        <v>9.369</v>
      </c>
      <c r="N33" s="30" t="n">
        <f aca="false">SUM(N27:N32)</f>
        <v>6.08985</v>
      </c>
      <c r="O33" s="30" t="n">
        <f aca="false">SUM(O27:O32)</f>
        <v>5.1763725</v>
      </c>
      <c r="P33" s="32" t="n">
        <f aca="false">IF(M33&gt;0,J33/M33,0)</f>
        <v>218.764008965738</v>
      </c>
      <c r="Q33" s="32" t="n">
        <f aca="false">IF(N33&gt;0,J33/N33,0)</f>
        <v>336.560013793443</v>
      </c>
      <c r="R33" s="32" t="n">
        <f aca="false">IF(O33&gt;0,J33/O33,0)</f>
        <v>395.952957404051</v>
      </c>
    </row>
    <row r="35" customFormat="false" ht="15" hidden="false" customHeight="false" outlineLevel="0" collapsed="false">
      <c r="A35" s="5" t="s">
        <v>417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customFormat="false" ht="42" hidden="false" customHeight="true" outlineLevel="0" collapsed="false">
      <c r="A36" s="16" t="s">
        <v>402</v>
      </c>
      <c r="B36" s="16" t="s">
        <v>403</v>
      </c>
      <c r="C36" s="16" t="s">
        <v>385</v>
      </c>
      <c r="D36" s="16" t="s">
        <v>404</v>
      </c>
      <c r="E36" s="16" t="s">
        <v>405</v>
      </c>
      <c r="F36" s="16" t="s">
        <v>406</v>
      </c>
      <c r="G36" s="16" t="s">
        <v>407</v>
      </c>
      <c r="H36" s="16" t="s">
        <v>408</v>
      </c>
      <c r="I36" s="16" t="s">
        <v>409</v>
      </c>
      <c r="J36" s="16" t="s">
        <v>386</v>
      </c>
      <c r="K36" s="16" t="s">
        <v>387</v>
      </c>
      <c r="L36" s="16" t="s">
        <v>390</v>
      </c>
      <c r="M36" s="16" t="s">
        <v>391</v>
      </c>
      <c r="N36" s="16" t="s">
        <v>392</v>
      </c>
      <c r="O36" s="16" t="s">
        <v>393</v>
      </c>
      <c r="P36" s="16" t="s">
        <v>394</v>
      </c>
      <c r="Q36" s="16" t="s">
        <v>395</v>
      </c>
      <c r="R36" s="16" t="s">
        <v>396</v>
      </c>
    </row>
    <row r="37" customFormat="false" ht="15" hidden="false" customHeight="false" outlineLevel="0" collapsed="false">
      <c r="A37" s="7" t="s">
        <v>410</v>
      </c>
      <c r="B37" s="23" t="n">
        <f aca="false">Assumptions!$F$60</f>
        <v>0.45</v>
      </c>
      <c r="C37" s="18" t="n">
        <f aca="false">Assumptions!$F$56*B37</f>
        <v>1350</v>
      </c>
      <c r="D37" s="20" t="n">
        <f aca="false">Assumptions!$F$32</f>
        <v>16</v>
      </c>
      <c r="E37" s="24" t="n">
        <f aca="false">(Assumptions!$F$7+Assumptions!$F$14*Assumptions!$F$28)*Assumptions!$F$21</f>
        <v>3750</v>
      </c>
      <c r="F37" s="19" t="n">
        <f aca="false">E37*Assumptions!$F$22*Assumptions!$F$24</f>
        <v>309.375</v>
      </c>
      <c r="G37" s="19" t="n">
        <f aca="false">IFERROR(C37/D37,0)</f>
        <v>84.375</v>
      </c>
      <c r="H37" s="19" t="n">
        <f aca="false">MIN(F37,G37)</f>
        <v>84.375</v>
      </c>
      <c r="I37" s="17" t="str">
        <f aca="false">IF(G37&gt;F37,"Yes","No")</f>
        <v>No</v>
      </c>
      <c r="J37" s="18" t="n">
        <f aca="false">H37*D37</f>
        <v>1350</v>
      </c>
      <c r="K37" s="18" t="n">
        <f aca="false">C37-J37</f>
        <v>0</v>
      </c>
      <c r="L37" s="19" t="n">
        <f aca="false">H37*Assumptions!$F$51</f>
        <v>11.8125</v>
      </c>
      <c r="M37" s="19" t="n">
        <f aca="false">L37*Assumptions!$F$52</f>
        <v>7.0875</v>
      </c>
      <c r="N37" s="19" t="n">
        <f aca="false">M37*Assumptions!$F$53</f>
        <v>5.67</v>
      </c>
      <c r="O37" s="19" t="n">
        <f aca="false">N37*Assumptions!$F$54</f>
        <v>5.2164</v>
      </c>
      <c r="P37" s="21" t="n">
        <f aca="false">IF(M37&gt;0,J37/M37,0)</f>
        <v>190.47619047619</v>
      </c>
      <c r="Q37" s="21" t="n">
        <f aca="false">IF(N37&gt;0,J37/N37,0)</f>
        <v>238.095238095238</v>
      </c>
      <c r="R37" s="21" t="n">
        <f aca="false">IF(O37&gt;0,J37/O37,0)</f>
        <v>258.79917184265</v>
      </c>
    </row>
    <row r="38" customFormat="false" ht="15" hidden="false" customHeight="false" outlineLevel="0" collapsed="false">
      <c r="A38" s="7" t="s">
        <v>411</v>
      </c>
      <c r="B38" s="23" t="n">
        <f aca="false">Assumptions!$F$61</f>
        <v>0.4</v>
      </c>
      <c r="C38" s="18" t="n">
        <f aca="false">Assumptions!$F$56*B38</f>
        <v>1200</v>
      </c>
      <c r="D38" s="20" t="n">
        <f aca="false">Assumptions!$F$33</f>
        <v>16</v>
      </c>
      <c r="E38" s="24" t="n">
        <f aca="false">(Assumptions!$F$8+Assumptions!$F$15*Assumptions!$F$28)*Assumptions!$F$21</f>
        <v>4950</v>
      </c>
      <c r="F38" s="19" t="n">
        <f aca="false">E38*Assumptions!$F$22*Assumptions!$F$24</f>
        <v>408.375</v>
      </c>
      <c r="G38" s="19" t="n">
        <f aca="false">IFERROR(C38/D38,0)</f>
        <v>75</v>
      </c>
      <c r="H38" s="19" t="n">
        <f aca="false">MIN(F38,G38)</f>
        <v>75</v>
      </c>
      <c r="I38" s="17" t="str">
        <f aca="false">IF(G38&gt;F38,"Yes","No")</f>
        <v>No</v>
      </c>
      <c r="J38" s="18" t="n">
        <f aca="false">H38*D38</f>
        <v>1200</v>
      </c>
      <c r="K38" s="18" t="n">
        <f aca="false">C38-J38</f>
        <v>0</v>
      </c>
      <c r="L38" s="19" t="n">
        <f aca="false">H38*Assumptions!$F$51</f>
        <v>10.5</v>
      </c>
      <c r="M38" s="19" t="n">
        <f aca="false">L38*Assumptions!$F$52</f>
        <v>6.3</v>
      </c>
      <c r="N38" s="19" t="n">
        <f aca="false">M38*Assumptions!$F$53</f>
        <v>5.04</v>
      </c>
      <c r="O38" s="19" t="n">
        <f aca="false">N38*Assumptions!$F$54</f>
        <v>4.6368</v>
      </c>
      <c r="P38" s="21" t="n">
        <f aca="false">IF(M38&gt;0,J38/M38,0)</f>
        <v>190.47619047619</v>
      </c>
      <c r="Q38" s="21" t="n">
        <f aca="false">IF(N38&gt;0,J38/N38,0)</f>
        <v>238.095238095238</v>
      </c>
      <c r="R38" s="21" t="n">
        <f aca="false">IF(O38&gt;0,J38/O38,0)</f>
        <v>258.79917184265</v>
      </c>
    </row>
    <row r="39" customFormat="false" ht="15" hidden="false" customHeight="false" outlineLevel="0" collapsed="false">
      <c r="A39" s="7" t="s">
        <v>412</v>
      </c>
      <c r="B39" s="23" t="n">
        <f aca="false">Assumptions!$F$62</f>
        <v>0.15</v>
      </c>
      <c r="C39" s="18" t="n">
        <f aca="false">Assumptions!$F$56*B39</f>
        <v>450</v>
      </c>
      <c r="D39" s="20" t="n">
        <f aca="false">Assumptions!$F$34</f>
        <v>13</v>
      </c>
      <c r="E39" s="24" t="n">
        <f aca="false">(Assumptions!$F$9+Assumptions!$F$16*Assumptions!$F$28)*Assumptions!$F$21</f>
        <v>885</v>
      </c>
      <c r="F39" s="19" t="n">
        <f aca="false">E39*Assumptions!$F$22*Assumptions!$F$24</f>
        <v>73.0125</v>
      </c>
      <c r="G39" s="19" t="n">
        <f aca="false">IFERROR(C39/D39,0)</f>
        <v>34.6153846153846</v>
      </c>
      <c r="H39" s="19" t="n">
        <f aca="false">MIN(F39,G39)</f>
        <v>34.6153846153846</v>
      </c>
      <c r="I39" s="17" t="str">
        <f aca="false">IF(G39&gt;F39,"Yes","No")</f>
        <v>No</v>
      </c>
      <c r="J39" s="18" t="n">
        <f aca="false">H39*D39</f>
        <v>450</v>
      </c>
      <c r="K39" s="18" t="n">
        <f aca="false">C39-J39</f>
        <v>0</v>
      </c>
      <c r="L39" s="19" t="n">
        <f aca="false">H39*Assumptions!$F$51</f>
        <v>4.84615384615385</v>
      </c>
      <c r="M39" s="19" t="n">
        <f aca="false">L39*Assumptions!$F$52</f>
        <v>2.90769230769231</v>
      </c>
      <c r="N39" s="19" t="n">
        <f aca="false">M39*Assumptions!$F$53</f>
        <v>2.32615384615385</v>
      </c>
      <c r="O39" s="19" t="n">
        <f aca="false">N39*Assumptions!$F$54</f>
        <v>2.14006153846154</v>
      </c>
      <c r="P39" s="21" t="n">
        <f aca="false">IF(M39&gt;0,J39/M39,0)</f>
        <v>154.761904761905</v>
      </c>
      <c r="Q39" s="21" t="n">
        <f aca="false">IF(N39&gt;0,J39/N39,0)</f>
        <v>193.452380952381</v>
      </c>
      <c r="R39" s="21" t="n">
        <f aca="false">IF(O39&gt;0,J39/O39,0)</f>
        <v>210.274327122153</v>
      </c>
    </row>
    <row r="40" customFormat="false" ht="15" hidden="false" customHeight="false" outlineLevel="0" collapsed="false">
      <c r="A40" s="7" t="s">
        <v>312</v>
      </c>
      <c r="B40" s="23" t="n">
        <f aca="false">Assumptions!$F$63</f>
        <v>0</v>
      </c>
      <c r="C40" s="18" t="n">
        <f aca="false">Assumptions!$F$56*B40</f>
        <v>0</v>
      </c>
      <c r="D40" s="20" t="n">
        <f aca="false">Assumptions!$F$35</f>
        <v>13</v>
      </c>
      <c r="E40" s="24" t="n">
        <f aca="false">(Assumptions!$F$10+Assumptions!$F$17*Assumptions!$F$28)*Assumptions!$F$21</f>
        <v>1650</v>
      </c>
      <c r="F40" s="19" t="n">
        <f aca="false">E40*Assumptions!$F$22*Assumptions!$F$24</f>
        <v>136.125</v>
      </c>
      <c r="G40" s="19" t="n">
        <f aca="false">IFERROR(C40/D40,0)</f>
        <v>0</v>
      </c>
      <c r="H40" s="19" t="n">
        <f aca="false">MIN(F40,G40)</f>
        <v>0</v>
      </c>
      <c r="I40" s="17" t="str">
        <f aca="false">IF(G40&gt;F40,"Yes","No")</f>
        <v>No</v>
      </c>
      <c r="J40" s="18" t="n">
        <f aca="false">H40*D40</f>
        <v>0</v>
      </c>
      <c r="K40" s="18" t="n">
        <f aca="false">C40-J40</f>
        <v>0</v>
      </c>
      <c r="L40" s="19" t="n">
        <f aca="false">H40*Assumptions!$F$51</f>
        <v>0</v>
      </c>
      <c r="M40" s="19" t="n">
        <f aca="false">L40*Assumptions!$F$52</f>
        <v>0</v>
      </c>
      <c r="N40" s="19" t="n">
        <f aca="false">M40*Assumptions!$F$53</f>
        <v>0</v>
      </c>
      <c r="O40" s="19" t="n">
        <f aca="false">N40*Assumptions!$F$54</f>
        <v>0</v>
      </c>
      <c r="P40" s="21" t="n">
        <f aca="false">IF(M40&gt;0,J40/M40,0)</f>
        <v>0</v>
      </c>
      <c r="Q40" s="21" t="n">
        <f aca="false">IF(N40&gt;0,J40/N40,0)</f>
        <v>0</v>
      </c>
      <c r="R40" s="21" t="n">
        <f aca="false">IF(O40&gt;0,J40/O40,0)</f>
        <v>0</v>
      </c>
    </row>
    <row r="41" customFormat="false" ht="15" hidden="false" customHeight="false" outlineLevel="0" collapsed="false">
      <c r="A41" s="7" t="s">
        <v>413</v>
      </c>
      <c r="B41" s="23" t="n">
        <f aca="false">Assumptions!$F$64</f>
        <v>0</v>
      </c>
      <c r="C41" s="18" t="n">
        <f aca="false">Assumptions!$F$56*B41</f>
        <v>0</v>
      </c>
      <c r="D41" s="20" t="n">
        <f aca="false">Assumptions!$F$36</f>
        <v>12</v>
      </c>
      <c r="E41" s="24" t="n">
        <f aca="false">(Assumptions!$F$11+Assumptions!$F$18*Assumptions!$F$28)*Assumptions!$F$21</f>
        <v>1200</v>
      </c>
      <c r="F41" s="19" t="n">
        <f aca="false">E41*Assumptions!$F$22*Assumptions!$F$24</f>
        <v>99</v>
      </c>
      <c r="G41" s="19" t="n">
        <f aca="false">IFERROR(C41/D41,0)</f>
        <v>0</v>
      </c>
      <c r="H41" s="19" t="n">
        <f aca="false">MIN(F41,G41)</f>
        <v>0</v>
      </c>
      <c r="I41" s="17" t="str">
        <f aca="false">IF(G41&gt;F41,"Yes","No")</f>
        <v>No</v>
      </c>
      <c r="J41" s="18" t="n">
        <f aca="false">H41*D41</f>
        <v>0</v>
      </c>
      <c r="K41" s="18" t="n">
        <f aca="false">C41-J41</f>
        <v>0</v>
      </c>
      <c r="L41" s="19" t="n">
        <f aca="false">H41*Assumptions!$F$51</f>
        <v>0</v>
      </c>
      <c r="M41" s="19" t="n">
        <f aca="false">L41*Assumptions!$F$52</f>
        <v>0</v>
      </c>
      <c r="N41" s="19" t="n">
        <f aca="false">M41*Assumptions!$F$53</f>
        <v>0</v>
      </c>
      <c r="O41" s="19" t="n">
        <f aca="false">N41*Assumptions!$F$54</f>
        <v>0</v>
      </c>
      <c r="P41" s="21" t="n">
        <f aca="false">IF(M41&gt;0,J41/M41,0)</f>
        <v>0</v>
      </c>
      <c r="Q41" s="21" t="n">
        <f aca="false">IF(N41&gt;0,J41/N41,0)</f>
        <v>0</v>
      </c>
      <c r="R41" s="21" t="n">
        <f aca="false">IF(O41&gt;0,J41/O41,0)</f>
        <v>0</v>
      </c>
    </row>
    <row r="42" customFormat="false" ht="15" hidden="false" customHeight="false" outlineLevel="0" collapsed="false">
      <c r="A42" s="7" t="s">
        <v>414</v>
      </c>
      <c r="B42" s="23" t="n">
        <f aca="false">Assumptions!$F$65</f>
        <v>0</v>
      </c>
      <c r="C42" s="18" t="n">
        <f aca="false">Assumptions!$F$56*B42</f>
        <v>0</v>
      </c>
      <c r="D42" s="20" t="n">
        <f aca="false">Assumptions!$F$37</f>
        <v>13</v>
      </c>
      <c r="E42" s="24" t="n">
        <f aca="false">(Assumptions!$F$12+Assumptions!$F$19*Assumptions!$F$28)*Assumptions!$F$21</f>
        <v>1320</v>
      </c>
      <c r="F42" s="19" t="n">
        <f aca="false">E42*Assumptions!$F$22*Assumptions!$F$24</f>
        <v>108.9</v>
      </c>
      <c r="G42" s="19" t="n">
        <f aca="false">IFERROR(C42/D42,0)</f>
        <v>0</v>
      </c>
      <c r="H42" s="19" t="n">
        <f aca="false">MIN(F42,G42)</f>
        <v>0</v>
      </c>
      <c r="I42" s="17" t="str">
        <f aca="false">IF(G42&gt;F42,"Yes","No")</f>
        <v>No</v>
      </c>
      <c r="J42" s="18" t="n">
        <f aca="false">H42*D42</f>
        <v>0</v>
      </c>
      <c r="K42" s="18" t="n">
        <f aca="false">C42-J42</f>
        <v>0</v>
      </c>
      <c r="L42" s="19" t="n">
        <f aca="false">H42*Assumptions!$F$51</f>
        <v>0</v>
      </c>
      <c r="M42" s="19" t="n">
        <f aca="false">L42*Assumptions!$F$52</f>
        <v>0</v>
      </c>
      <c r="N42" s="19" t="n">
        <f aca="false">M42*Assumptions!$F$53</f>
        <v>0</v>
      </c>
      <c r="O42" s="19" t="n">
        <f aca="false">N42*Assumptions!$F$54</f>
        <v>0</v>
      </c>
      <c r="P42" s="21" t="n">
        <f aca="false">IF(M42&gt;0,J42/M42,0)</f>
        <v>0</v>
      </c>
      <c r="Q42" s="21" t="n">
        <f aca="false">IF(N42&gt;0,J42/N42,0)</f>
        <v>0</v>
      </c>
      <c r="R42" s="21" t="n">
        <f aca="false">IF(O42&gt;0,J42/O42,0)</f>
        <v>0</v>
      </c>
    </row>
    <row r="43" customFormat="false" ht="15" hidden="false" customHeight="false" outlineLevel="0" collapsed="false">
      <c r="A43" s="25" t="s">
        <v>415</v>
      </c>
      <c r="B43" s="26" t="n">
        <f aca="false">SUM(B37:B42)</f>
        <v>1</v>
      </c>
      <c r="C43" s="27" t="n">
        <f aca="false">SUM(C37:C42)</f>
        <v>3000</v>
      </c>
      <c r="D43" s="28" t="n">
        <f aca="false">IF(H43&gt;0,J43/H43,0)</f>
        <v>15.4646840148699</v>
      </c>
      <c r="E43" s="29" t="n">
        <f aca="false">SUM(E37:E42)</f>
        <v>13755</v>
      </c>
      <c r="F43" s="30" t="n">
        <f aca="false">SUM(F37:F42)</f>
        <v>1134.7875</v>
      </c>
      <c r="G43" s="30" t="n">
        <f aca="false">SUM(G37:G42)</f>
        <v>193.990384615385</v>
      </c>
      <c r="H43" s="30" t="n">
        <f aca="false">SUM(H37:H42)</f>
        <v>193.990384615385</v>
      </c>
      <c r="I43" s="31" t="str">
        <f aca="false">IF(COUNTIF(I37:I42,"Yes")&gt;0,"Yes, some","No")</f>
        <v>No</v>
      </c>
      <c r="J43" s="27" t="n">
        <f aca="false">SUM(J37:J42)</f>
        <v>3000</v>
      </c>
      <c r="K43" s="27" t="n">
        <f aca="false">SUM(K37:K42)</f>
        <v>0</v>
      </c>
      <c r="L43" s="30" t="n">
        <f aca="false">SUM(L37:L42)</f>
        <v>27.1586538461539</v>
      </c>
      <c r="M43" s="30" t="n">
        <f aca="false">SUM(M37:M42)</f>
        <v>16.2951923076923</v>
      </c>
      <c r="N43" s="30" t="n">
        <f aca="false">SUM(N37:N42)</f>
        <v>13.0361538461539</v>
      </c>
      <c r="O43" s="30" t="n">
        <f aca="false">SUM(O37:O42)</f>
        <v>11.9932615384615</v>
      </c>
      <c r="P43" s="32" t="n">
        <f aca="false">IF(M43&gt;0,J43/M43,0)</f>
        <v>184.103381129403</v>
      </c>
      <c r="Q43" s="32" t="n">
        <f aca="false">IF(N43&gt;0,J43/N43,0)</f>
        <v>230.129226411754</v>
      </c>
      <c r="R43" s="32" t="n">
        <f aca="false">IF(O43&gt;0,J43/O43,0)</f>
        <v>250.140463491037</v>
      </c>
    </row>
    <row r="45" customFormat="false" ht="15" hidden="false" customHeight="false" outlineLevel="0" collapsed="false">
      <c r="A45" s="5" t="s">
        <v>418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customFormat="false" ht="42" hidden="false" customHeight="true" outlineLevel="0" collapsed="false">
      <c r="A46" s="16" t="s">
        <v>402</v>
      </c>
      <c r="B46" s="16" t="s">
        <v>403</v>
      </c>
      <c r="C46" s="16" t="s">
        <v>385</v>
      </c>
      <c r="D46" s="16" t="s">
        <v>404</v>
      </c>
      <c r="E46" s="16" t="s">
        <v>405</v>
      </c>
      <c r="F46" s="16" t="s">
        <v>406</v>
      </c>
      <c r="G46" s="16" t="s">
        <v>407</v>
      </c>
      <c r="H46" s="16" t="s">
        <v>408</v>
      </c>
      <c r="I46" s="16" t="s">
        <v>409</v>
      </c>
      <c r="J46" s="16" t="s">
        <v>386</v>
      </c>
      <c r="K46" s="16" t="s">
        <v>387</v>
      </c>
      <c r="L46" s="16" t="s">
        <v>390</v>
      </c>
      <c r="M46" s="16" t="s">
        <v>391</v>
      </c>
      <c r="N46" s="16" t="s">
        <v>392</v>
      </c>
      <c r="O46" s="16" t="s">
        <v>393</v>
      </c>
      <c r="P46" s="16" t="s">
        <v>394</v>
      </c>
      <c r="Q46" s="16" t="s">
        <v>395</v>
      </c>
      <c r="R46" s="16" t="s">
        <v>396</v>
      </c>
    </row>
    <row r="47" customFormat="false" ht="15" hidden="false" customHeight="false" outlineLevel="0" collapsed="false">
      <c r="A47" s="7" t="s">
        <v>410</v>
      </c>
      <c r="B47" s="23" t="n">
        <f aca="false">Assumptions!$D$66</f>
        <v>0.32</v>
      </c>
      <c r="C47" s="18" t="n">
        <f aca="false">Assumptions!$D$57*B47</f>
        <v>1920</v>
      </c>
      <c r="D47" s="20" t="n">
        <f aca="false">Assumptions!$D$38</f>
        <v>7.7</v>
      </c>
      <c r="E47" s="24" t="n">
        <f aca="false">(Assumptions!$D$7+Assumptions!$D$14*Assumptions!$D$29)*Assumptions!$D$21</f>
        <v>844</v>
      </c>
      <c r="F47" s="19" t="n">
        <f aca="false">E47*Assumptions!$D$22*Assumptions!$D$25</f>
        <v>18.568</v>
      </c>
      <c r="G47" s="19" t="n">
        <f aca="false">IFERROR(C47/D47,0)</f>
        <v>249.350649350649</v>
      </c>
      <c r="H47" s="19" t="n">
        <f aca="false">MIN(F47,G47)</f>
        <v>18.568</v>
      </c>
      <c r="I47" s="17" t="str">
        <f aca="false">IF(G47&gt;F47,"Yes","No")</f>
        <v>Yes</v>
      </c>
      <c r="J47" s="18" t="n">
        <f aca="false">H47*D47</f>
        <v>142.9736</v>
      </c>
      <c r="K47" s="18" t="n">
        <f aca="false">C47-J47</f>
        <v>1777.0264</v>
      </c>
      <c r="L47" s="19" t="n">
        <f aca="false">H47*Assumptions!$D$51</f>
        <v>1.11408</v>
      </c>
      <c r="M47" s="19" t="n">
        <f aca="false">L47*Assumptions!$D$52</f>
        <v>0.334224</v>
      </c>
      <c r="N47" s="19" t="n">
        <f aca="false">M47*Assumptions!$D$53</f>
        <v>0.167112</v>
      </c>
      <c r="O47" s="19" t="n">
        <f aca="false">N47*Assumptions!$D$54</f>
        <v>0.125334</v>
      </c>
      <c r="P47" s="21" t="n">
        <f aca="false">IF(M47&gt;0,J47/M47,0)</f>
        <v>427.777777777778</v>
      </c>
      <c r="Q47" s="21" t="n">
        <f aca="false">IF(N47&gt;0,J47/N47,0)</f>
        <v>855.555555555556</v>
      </c>
      <c r="R47" s="21" t="n">
        <f aca="false">IF(O47&gt;0,J47/O47,0)</f>
        <v>1140.74074074074</v>
      </c>
    </row>
    <row r="48" customFormat="false" ht="15" hidden="false" customHeight="false" outlineLevel="0" collapsed="false">
      <c r="A48" s="7" t="s">
        <v>411</v>
      </c>
      <c r="B48" s="23" t="n">
        <f aca="false">Assumptions!$D$67</f>
        <v>0.3</v>
      </c>
      <c r="C48" s="18" t="n">
        <f aca="false">Assumptions!$D$57*B48</f>
        <v>1800</v>
      </c>
      <c r="D48" s="20" t="n">
        <f aca="false">Assumptions!$D$39</f>
        <v>7.7</v>
      </c>
      <c r="E48" s="24" t="n">
        <f aca="false">(Assumptions!$D$8+Assumptions!$D$15*Assumptions!$D$29)*Assumptions!$D$21</f>
        <v>1076</v>
      </c>
      <c r="F48" s="19" t="n">
        <f aca="false">E48*Assumptions!$D$22*Assumptions!$D$25</f>
        <v>23.672</v>
      </c>
      <c r="G48" s="19" t="n">
        <f aca="false">IFERROR(C48/D48,0)</f>
        <v>233.766233766234</v>
      </c>
      <c r="H48" s="19" t="n">
        <f aca="false">MIN(F48,G48)</f>
        <v>23.672</v>
      </c>
      <c r="I48" s="17" t="str">
        <f aca="false">IF(G48&gt;F48,"Yes","No")</f>
        <v>Yes</v>
      </c>
      <c r="J48" s="18" t="n">
        <f aca="false">H48*D48</f>
        <v>182.2744</v>
      </c>
      <c r="K48" s="18" t="n">
        <f aca="false">C48-J48</f>
        <v>1617.7256</v>
      </c>
      <c r="L48" s="19" t="n">
        <f aca="false">H48*Assumptions!$D$51</f>
        <v>1.42032</v>
      </c>
      <c r="M48" s="19" t="n">
        <f aca="false">L48*Assumptions!$D$52</f>
        <v>0.426096</v>
      </c>
      <c r="N48" s="19" t="n">
        <f aca="false">M48*Assumptions!$D$53</f>
        <v>0.213048</v>
      </c>
      <c r="O48" s="19" t="n">
        <f aca="false">N48*Assumptions!$D$54</f>
        <v>0.159786</v>
      </c>
      <c r="P48" s="21" t="n">
        <f aca="false">IF(M48&gt;0,J48/M48,0)</f>
        <v>427.777777777778</v>
      </c>
      <c r="Q48" s="21" t="n">
        <f aca="false">IF(N48&gt;0,J48/N48,0)</f>
        <v>855.555555555556</v>
      </c>
      <c r="R48" s="21" t="n">
        <f aca="false">IF(O48&gt;0,J48/O48,0)</f>
        <v>1140.74074074074</v>
      </c>
    </row>
    <row r="49" customFormat="false" ht="15" hidden="false" customHeight="false" outlineLevel="0" collapsed="false">
      <c r="A49" s="7" t="s">
        <v>412</v>
      </c>
      <c r="B49" s="23" t="n">
        <f aca="false">Assumptions!$D$68</f>
        <v>0.1</v>
      </c>
      <c r="C49" s="18" t="n">
        <f aca="false">Assumptions!$D$57*B49</f>
        <v>600</v>
      </c>
      <c r="D49" s="20" t="n">
        <f aca="false">Assumptions!$D$40</f>
        <v>5.5</v>
      </c>
      <c r="E49" s="24" t="n">
        <f aca="false">(Assumptions!$D$9+Assumptions!$D$16*Assumptions!$D$29)*Assumptions!$D$21</f>
        <v>196</v>
      </c>
      <c r="F49" s="19" t="n">
        <f aca="false">E49*Assumptions!$D$22*Assumptions!$D$25</f>
        <v>4.312</v>
      </c>
      <c r="G49" s="19" t="n">
        <f aca="false">IFERROR(C49/D49,0)</f>
        <v>109.090909090909</v>
      </c>
      <c r="H49" s="19" t="n">
        <f aca="false">MIN(F49,G49)</f>
        <v>4.312</v>
      </c>
      <c r="I49" s="17" t="str">
        <f aca="false">IF(G49&gt;F49,"Yes","No")</f>
        <v>Yes</v>
      </c>
      <c r="J49" s="18" t="n">
        <f aca="false">H49*D49</f>
        <v>23.716</v>
      </c>
      <c r="K49" s="18" t="n">
        <f aca="false">C49-J49</f>
        <v>576.284</v>
      </c>
      <c r="L49" s="19" t="n">
        <f aca="false">H49*Assumptions!$D$51</f>
        <v>0.25872</v>
      </c>
      <c r="M49" s="19" t="n">
        <f aca="false">L49*Assumptions!$D$52</f>
        <v>0.077616</v>
      </c>
      <c r="N49" s="19" t="n">
        <f aca="false">M49*Assumptions!$D$53</f>
        <v>0.038808</v>
      </c>
      <c r="O49" s="19" t="n">
        <f aca="false">N49*Assumptions!$D$54</f>
        <v>0.029106</v>
      </c>
      <c r="P49" s="21" t="n">
        <f aca="false">IF(M49&gt;0,J49/M49,0)</f>
        <v>305.555555555556</v>
      </c>
      <c r="Q49" s="21" t="n">
        <f aca="false">IF(N49&gt;0,J49/N49,0)</f>
        <v>611.111111111111</v>
      </c>
      <c r="R49" s="21" t="n">
        <f aca="false">IF(O49&gt;0,J49/O49,0)</f>
        <v>814.814814814815</v>
      </c>
    </row>
    <row r="50" customFormat="false" ht="15" hidden="false" customHeight="false" outlineLevel="0" collapsed="false">
      <c r="A50" s="7" t="s">
        <v>312</v>
      </c>
      <c r="B50" s="23" t="n">
        <f aca="false">Assumptions!$D$69</f>
        <v>0.12</v>
      </c>
      <c r="C50" s="18" t="n">
        <f aca="false">Assumptions!$D$57*B50</f>
        <v>720</v>
      </c>
      <c r="D50" s="20" t="n">
        <f aca="false">Assumptions!$D$41</f>
        <v>5.5</v>
      </c>
      <c r="E50" s="24" t="n">
        <f aca="false">(Assumptions!$D$10+Assumptions!$D$17*Assumptions!$D$29)*Assumptions!$D$21</f>
        <v>486</v>
      </c>
      <c r="F50" s="19" t="n">
        <f aca="false">E50*Assumptions!$D$22*Assumptions!$D$25</f>
        <v>10.692</v>
      </c>
      <c r="G50" s="19" t="n">
        <f aca="false">IFERROR(C50/D50,0)</f>
        <v>130.909090909091</v>
      </c>
      <c r="H50" s="19" t="n">
        <f aca="false">MIN(F50,G50)</f>
        <v>10.692</v>
      </c>
      <c r="I50" s="17" t="str">
        <f aca="false">IF(G50&gt;F50,"Yes","No")</f>
        <v>Yes</v>
      </c>
      <c r="J50" s="18" t="n">
        <f aca="false">H50*D50</f>
        <v>58.806</v>
      </c>
      <c r="K50" s="18" t="n">
        <f aca="false">C50-J50</f>
        <v>661.194</v>
      </c>
      <c r="L50" s="19" t="n">
        <f aca="false">H50*Assumptions!$D$51</f>
        <v>0.64152</v>
      </c>
      <c r="M50" s="19" t="n">
        <f aca="false">L50*Assumptions!$D$52</f>
        <v>0.192456</v>
      </c>
      <c r="N50" s="19" t="n">
        <f aca="false">M50*Assumptions!$D$53</f>
        <v>0.096228</v>
      </c>
      <c r="O50" s="19" t="n">
        <f aca="false">N50*Assumptions!$D$54</f>
        <v>0.072171</v>
      </c>
      <c r="P50" s="21" t="n">
        <f aca="false">IF(M50&gt;0,J50/M50,0)</f>
        <v>305.555555555556</v>
      </c>
      <c r="Q50" s="21" t="n">
        <f aca="false">IF(N50&gt;0,J50/N50,0)</f>
        <v>611.111111111111</v>
      </c>
      <c r="R50" s="21" t="n">
        <f aca="false">IF(O50&gt;0,J50/O50,0)</f>
        <v>814.814814814815</v>
      </c>
    </row>
    <row r="51" customFormat="false" ht="15" hidden="false" customHeight="false" outlineLevel="0" collapsed="false">
      <c r="A51" s="7" t="s">
        <v>413</v>
      </c>
      <c r="B51" s="23" t="n">
        <f aca="false">Assumptions!$D$70</f>
        <v>0.06</v>
      </c>
      <c r="C51" s="18" t="n">
        <f aca="false">Assumptions!$D$57*B51</f>
        <v>360</v>
      </c>
      <c r="D51" s="20" t="n">
        <f aca="false">Assumptions!$D$42</f>
        <v>4.4</v>
      </c>
      <c r="E51" s="24" t="n">
        <f aca="false">(Assumptions!$D$11+Assumptions!$D$18*Assumptions!$D$29)*Assumptions!$D$21</f>
        <v>470</v>
      </c>
      <c r="F51" s="19" t="n">
        <f aca="false">E51*Assumptions!$D$22*Assumptions!$D$25</f>
        <v>10.34</v>
      </c>
      <c r="G51" s="19" t="n">
        <f aca="false">IFERROR(C51/D51,0)</f>
        <v>81.8181818181818</v>
      </c>
      <c r="H51" s="19" t="n">
        <f aca="false">MIN(F51,G51)</f>
        <v>10.34</v>
      </c>
      <c r="I51" s="17" t="str">
        <f aca="false">IF(G51&gt;F51,"Yes","No")</f>
        <v>Yes</v>
      </c>
      <c r="J51" s="18" t="n">
        <f aca="false">H51*D51</f>
        <v>45.496</v>
      </c>
      <c r="K51" s="18" t="n">
        <f aca="false">C51-J51</f>
        <v>314.504</v>
      </c>
      <c r="L51" s="19" t="n">
        <f aca="false">H51*Assumptions!$D$51</f>
        <v>0.6204</v>
      </c>
      <c r="M51" s="19" t="n">
        <f aca="false">L51*Assumptions!$D$52</f>
        <v>0.18612</v>
      </c>
      <c r="N51" s="19" t="n">
        <f aca="false">M51*Assumptions!$D$53</f>
        <v>0.09306</v>
      </c>
      <c r="O51" s="19" t="n">
        <f aca="false">N51*Assumptions!$D$54</f>
        <v>0.069795</v>
      </c>
      <c r="P51" s="21" t="n">
        <f aca="false">IF(M51&gt;0,J51/M51,0)</f>
        <v>244.444444444444</v>
      </c>
      <c r="Q51" s="21" t="n">
        <f aca="false">IF(N51&gt;0,J51/N51,0)</f>
        <v>488.888888888889</v>
      </c>
      <c r="R51" s="21" t="n">
        <f aca="false">IF(O51&gt;0,J51/O51,0)</f>
        <v>651.851851851852</v>
      </c>
    </row>
    <row r="52" customFormat="false" ht="15" hidden="false" customHeight="false" outlineLevel="0" collapsed="false">
      <c r="A52" s="7" t="s">
        <v>414</v>
      </c>
      <c r="B52" s="23" t="n">
        <f aca="false">Assumptions!$D$71</f>
        <v>0.1</v>
      </c>
      <c r="C52" s="18" t="n">
        <f aca="false">Assumptions!$D$57*B52</f>
        <v>600</v>
      </c>
      <c r="D52" s="20" t="n">
        <f aca="false">Assumptions!$D$43</f>
        <v>5.5</v>
      </c>
      <c r="E52" s="24" t="n">
        <f aca="false">(Assumptions!$D$12+Assumptions!$D$19*Assumptions!$D$29)*Assumptions!$D$21</f>
        <v>396</v>
      </c>
      <c r="F52" s="19" t="n">
        <f aca="false">E52*Assumptions!$D$22*Assumptions!$D$25</f>
        <v>8.712</v>
      </c>
      <c r="G52" s="19" t="n">
        <f aca="false">IFERROR(C52/D52,0)</f>
        <v>109.090909090909</v>
      </c>
      <c r="H52" s="19" t="n">
        <f aca="false">MIN(F52,G52)</f>
        <v>8.712</v>
      </c>
      <c r="I52" s="17" t="str">
        <f aca="false">IF(G52&gt;F52,"Yes","No")</f>
        <v>Yes</v>
      </c>
      <c r="J52" s="18" t="n">
        <f aca="false">H52*D52</f>
        <v>47.916</v>
      </c>
      <c r="K52" s="18" t="n">
        <f aca="false">C52-J52</f>
        <v>552.084</v>
      </c>
      <c r="L52" s="19" t="n">
        <f aca="false">H52*Assumptions!$D$51</f>
        <v>0.52272</v>
      </c>
      <c r="M52" s="19" t="n">
        <f aca="false">L52*Assumptions!$D$52</f>
        <v>0.156816</v>
      </c>
      <c r="N52" s="19" t="n">
        <f aca="false">M52*Assumptions!$D$53</f>
        <v>0.078408</v>
      </c>
      <c r="O52" s="19" t="n">
        <f aca="false">N52*Assumptions!$D$54</f>
        <v>0.058806</v>
      </c>
      <c r="P52" s="21" t="n">
        <f aca="false">IF(M52&gt;0,J52/M52,0)</f>
        <v>305.555555555556</v>
      </c>
      <c r="Q52" s="21" t="n">
        <f aca="false">IF(N52&gt;0,J52/N52,0)</f>
        <v>611.111111111111</v>
      </c>
      <c r="R52" s="21" t="n">
        <f aca="false">IF(O52&gt;0,J52/O52,0)</f>
        <v>814.814814814815</v>
      </c>
    </row>
    <row r="53" customFormat="false" ht="15" hidden="false" customHeight="false" outlineLevel="0" collapsed="false">
      <c r="A53" s="25" t="s">
        <v>415</v>
      </c>
      <c r="B53" s="26" t="n">
        <f aca="false">SUM(B47:B52)</f>
        <v>1</v>
      </c>
      <c r="C53" s="27" t="n">
        <f aca="false">SUM(C47:C52)</f>
        <v>6000</v>
      </c>
      <c r="D53" s="28" t="n">
        <f aca="false">IF(H53&gt;0,J53/H53,0)</f>
        <v>6.56891580161476</v>
      </c>
      <c r="E53" s="29" t="n">
        <f aca="false">SUM(E47:E52)</f>
        <v>3468</v>
      </c>
      <c r="F53" s="30" t="n">
        <f aca="false">SUM(F47:F52)</f>
        <v>76.296</v>
      </c>
      <c r="G53" s="30" t="n">
        <f aca="false">SUM(G47:G52)</f>
        <v>914.025974025974</v>
      </c>
      <c r="H53" s="30" t="n">
        <f aca="false">SUM(H47:H52)</f>
        <v>76.296</v>
      </c>
      <c r="I53" s="31" t="str">
        <f aca="false">IF(COUNTIF(I47:I52,"Yes")&gt;0,"Yes, some","No")</f>
        <v>Yes, some</v>
      </c>
      <c r="J53" s="27" t="n">
        <f aca="false">SUM(J47:J52)</f>
        <v>501.182</v>
      </c>
      <c r="K53" s="27" t="n">
        <f aca="false">SUM(K47:K52)</f>
        <v>5498.818</v>
      </c>
      <c r="L53" s="30" t="n">
        <f aca="false">SUM(L47:L52)</f>
        <v>4.57776</v>
      </c>
      <c r="M53" s="30" t="n">
        <f aca="false">SUM(M47:M52)</f>
        <v>1.373328</v>
      </c>
      <c r="N53" s="30" t="n">
        <f aca="false">SUM(N47:N52)</f>
        <v>0.686664</v>
      </c>
      <c r="O53" s="30" t="n">
        <f aca="false">SUM(O47:O52)</f>
        <v>0.514998</v>
      </c>
      <c r="P53" s="32" t="n">
        <f aca="false">IF(M53&gt;0,J53/M53,0)</f>
        <v>364.939766756376</v>
      </c>
      <c r="Q53" s="32" t="n">
        <f aca="false">IF(N53&gt;0,J53/N53,0)</f>
        <v>729.879533512752</v>
      </c>
      <c r="R53" s="32" t="n">
        <f aca="false">IF(O53&gt;0,J53/O53,0)</f>
        <v>973.172711350336</v>
      </c>
    </row>
    <row r="55" customFormat="false" ht="15" hidden="false" customHeight="false" outlineLevel="0" collapsed="false">
      <c r="A55" s="5" t="s">
        <v>419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customFormat="false" ht="42" hidden="false" customHeight="true" outlineLevel="0" collapsed="false">
      <c r="A56" s="16" t="s">
        <v>402</v>
      </c>
      <c r="B56" s="16" t="s">
        <v>403</v>
      </c>
      <c r="C56" s="16" t="s">
        <v>385</v>
      </c>
      <c r="D56" s="16" t="s">
        <v>404</v>
      </c>
      <c r="E56" s="16" t="s">
        <v>405</v>
      </c>
      <c r="F56" s="16" t="s">
        <v>406</v>
      </c>
      <c r="G56" s="16" t="s">
        <v>407</v>
      </c>
      <c r="H56" s="16" t="s">
        <v>408</v>
      </c>
      <c r="I56" s="16" t="s">
        <v>409</v>
      </c>
      <c r="J56" s="16" t="s">
        <v>386</v>
      </c>
      <c r="K56" s="16" t="s">
        <v>387</v>
      </c>
      <c r="L56" s="16" t="s">
        <v>390</v>
      </c>
      <c r="M56" s="16" t="s">
        <v>391</v>
      </c>
      <c r="N56" s="16" t="s">
        <v>392</v>
      </c>
      <c r="O56" s="16" t="s">
        <v>393</v>
      </c>
      <c r="P56" s="16" t="s">
        <v>394</v>
      </c>
      <c r="Q56" s="16" t="s">
        <v>395</v>
      </c>
      <c r="R56" s="16" t="s">
        <v>396</v>
      </c>
    </row>
    <row r="57" customFormat="false" ht="15" hidden="false" customHeight="false" outlineLevel="0" collapsed="false">
      <c r="A57" s="7" t="s">
        <v>410</v>
      </c>
      <c r="B57" s="23" t="n">
        <f aca="false">Assumptions!$E$66</f>
        <v>0.32</v>
      </c>
      <c r="C57" s="18" t="n">
        <f aca="false">Assumptions!$E$57*B57</f>
        <v>1920</v>
      </c>
      <c r="D57" s="20" t="n">
        <f aca="false">Assumptions!$E$38</f>
        <v>11</v>
      </c>
      <c r="E57" s="24" t="n">
        <f aca="false">(Assumptions!$E$7+Assumptions!$E$14*Assumptions!$E$29)*Assumptions!$E$21</f>
        <v>1847.5</v>
      </c>
      <c r="F57" s="19" t="n">
        <f aca="false">E57*Assumptions!$E$22*Assumptions!$E$25</f>
        <v>83.1375</v>
      </c>
      <c r="G57" s="19" t="n">
        <f aca="false">IFERROR(C57/D57,0)</f>
        <v>174.545454545455</v>
      </c>
      <c r="H57" s="19" t="n">
        <f aca="false">MIN(F57,G57)</f>
        <v>83.1375</v>
      </c>
      <c r="I57" s="17" t="str">
        <f aca="false">IF(G57&gt;F57,"Yes","No")</f>
        <v>Yes</v>
      </c>
      <c r="J57" s="18" t="n">
        <f aca="false">H57*D57</f>
        <v>914.5125</v>
      </c>
      <c r="K57" s="18" t="n">
        <f aca="false">C57-J57</f>
        <v>1005.4875</v>
      </c>
      <c r="L57" s="19" t="n">
        <f aca="false">H57*Assumptions!$E$51</f>
        <v>8.31375</v>
      </c>
      <c r="M57" s="19" t="n">
        <f aca="false">L57*Assumptions!$E$52</f>
        <v>3.7411875</v>
      </c>
      <c r="N57" s="19" t="n">
        <f aca="false">M57*Assumptions!$E$53</f>
        <v>2.431771875</v>
      </c>
      <c r="O57" s="19" t="n">
        <f aca="false">N57*Assumptions!$E$54</f>
        <v>2.06700609375</v>
      </c>
      <c r="P57" s="21" t="n">
        <f aca="false">IF(M57&gt;0,J57/M57,0)</f>
        <v>244.444444444444</v>
      </c>
      <c r="Q57" s="21" t="n">
        <f aca="false">IF(N57&gt;0,J57/N57,0)</f>
        <v>376.068376068376</v>
      </c>
      <c r="R57" s="21" t="n">
        <f aca="false">IF(O57&gt;0,J57/O57,0)</f>
        <v>442.433383609854</v>
      </c>
    </row>
    <row r="58" customFormat="false" ht="15" hidden="false" customHeight="false" outlineLevel="0" collapsed="false">
      <c r="A58" s="7" t="s">
        <v>411</v>
      </c>
      <c r="B58" s="23" t="n">
        <f aca="false">Assumptions!$E$67</f>
        <v>0.3</v>
      </c>
      <c r="C58" s="18" t="n">
        <f aca="false">Assumptions!$E$57*B58</f>
        <v>1800</v>
      </c>
      <c r="D58" s="20" t="n">
        <f aca="false">Assumptions!$E$39</f>
        <v>11</v>
      </c>
      <c r="E58" s="24" t="n">
        <f aca="false">(Assumptions!$E$8+Assumptions!$E$15*Assumptions!$E$29)*Assumptions!$E$21</f>
        <v>2420</v>
      </c>
      <c r="F58" s="19" t="n">
        <f aca="false">E58*Assumptions!$E$22*Assumptions!$E$25</f>
        <v>108.9</v>
      </c>
      <c r="G58" s="19" t="n">
        <f aca="false">IFERROR(C58/D58,0)</f>
        <v>163.636363636364</v>
      </c>
      <c r="H58" s="19" t="n">
        <f aca="false">MIN(F58,G58)</f>
        <v>108.9</v>
      </c>
      <c r="I58" s="17" t="str">
        <f aca="false">IF(G58&gt;F58,"Yes","No")</f>
        <v>Yes</v>
      </c>
      <c r="J58" s="18" t="n">
        <f aca="false">H58*D58</f>
        <v>1197.9</v>
      </c>
      <c r="K58" s="18" t="n">
        <f aca="false">C58-J58</f>
        <v>602.1</v>
      </c>
      <c r="L58" s="19" t="n">
        <f aca="false">H58*Assumptions!$E$51</f>
        <v>10.89</v>
      </c>
      <c r="M58" s="19" t="n">
        <f aca="false">L58*Assumptions!$E$52</f>
        <v>4.9005</v>
      </c>
      <c r="N58" s="19" t="n">
        <f aca="false">M58*Assumptions!$E$53</f>
        <v>3.185325</v>
      </c>
      <c r="O58" s="19" t="n">
        <f aca="false">N58*Assumptions!$E$54</f>
        <v>2.70752625</v>
      </c>
      <c r="P58" s="21" t="n">
        <f aca="false">IF(M58&gt;0,J58/M58,0)</f>
        <v>244.444444444444</v>
      </c>
      <c r="Q58" s="21" t="n">
        <f aca="false">IF(N58&gt;0,J58/N58,0)</f>
        <v>376.068376068376</v>
      </c>
      <c r="R58" s="21" t="n">
        <f aca="false">IF(O58&gt;0,J58/O58,0)</f>
        <v>442.433383609854</v>
      </c>
    </row>
    <row r="59" customFormat="false" ht="15" hidden="false" customHeight="false" outlineLevel="0" collapsed="false">
      <c r="A59" s="7" t="s">
        <v>412</v>
      </c>
      <c r="B59" s="23" t="n">
        <f aca="false">Assumptions!$E$68</f>
        <v>0.1</v>
      </c>
      <c r="C59" s="18" t="n">
        <f aca="false">Assumptions!$E$57*B59</f>
        <v>600</v>
      </c>
      <c r="D59" s="20" t="n">
        <f aca="false">Assumptions!$E$40</f>
        <v>8.8</v>
      </c>
      <c r="E59" s="24" t="n">
        <f aca="false">(Assumptions!$E$9+Assumptions!$E$16*Assumptions!$E$29)*Assumptions!$E$21</f>
        <v>537.5</v>
      </c>
      <c r="F59" s="19" t="n">
        <f aca="false">E59*Assumptions!$E$22*Assumptions!$E$25</f>
        <v>24.1875</v>
      </c>
      <c r="G59" s="19" t="n">
        <f aca="false">IFERROR(C59/D59,0)</f>
        <v>68.1818181818182</v>
      </c>
      <c r="H59" s="19" t="n">
        <f aca="false">MIN(F59,G59)</f>
        <v>24.1875</v>
      </c>
      <c r="I59" s="17" t="str">
        <f aca="false">IF(G59&gt;F59,"Yes","No")</f>
        <v>Yes</v>
      </c>
      <c r="J59" s="18" t="n">
        <f aca="false">H59*D59</f>
        <v>212.85</v>
      </c>
      <c r="K59" s="18" t="n">
        <f aca="false">C59-J59</f>
        <v>387.15</v>
      </c>
      <c r="L59" s="19" t="n">
        <f aca="false">H59*Assumptions!$E$51</f>
        <v>2.41875</v>
      </c>
      <c r="M59" s="19" t="n">
        <f aca="false">L59*Assumptions!$E$52</f>
        <v>1.0884375</v>
      </c>
      <c r="N59" s="19" t="n">
        <f aca="false">M59*Assumptions!$E$53</f>
        <v>0.707484375</v>
      </c>
      <c r="O59" s="19" t="n">
        <f aca="false">N59*Assumptions!$E$54</f>
        <v>0.60136171875</v>
      </c>
      <c r="P59" s="21" t="n">
        <f aca="false">IF(M59&gt;0,J59/M59,0)</f>
        <v>195.555555555556</v>
      </c>
      <c r="Q59" s="21" t="n">
        <f aca="false">IF(N59&gt;0,J59/N59,0)</f>
        <v>300.854700854701</v>
      </c>
      <c r="R59" s="21" t="n">
        <f aca="false">IF(O59&gt;0,J59/O59,0)</f>
        <v>353.946706887883</v>
      </c>
    </row>
    <row r="60" customFormat="false" ht="15" hidden="false" customHeight="false" outlineLevel="0" collapsed="false">
      <c r="A60" s="7" t="s">
        <v>312</v>
      </c>
      <c r="B60" s="23" t="n">
        <f aca="false">Assumptions!$E$69</f>
        <v>0.12</v>
      </c>
      <c r="C60" s="18" t="n">
        <f aca="false">Assumptions!$E$57*B60</f>
        <v>720</v>
      </c>
      <c r="D60" s="20" t="n">
        <f aca="false">Assumptions!$E$41</f>
        <v>8.8</v>
      </c>
      <c r="E60" s="24" t="n">
        <f aca="false">(Assumptions!$E$10+Assumptions!$E$17*Assumptions!$E$29)*Assumptions!$E$21</f>
        <v>1075</v>
      </c>
      <c r="F60" s="19" t="n">
        <f aca="false">E60*Assumptions!$E$22*Assumptions!$E$25</f>
        <v>48.375</v>
      </c>
      <c r="G60" s="19" t="n">
        <f aca="false">IFERROR(C60/D60,0)</f>
        <v>81.8181818181818</v>
      </c>
      <c r="H60" s="19" t="n">
        <f aca="false">MIN(F60,G60)</f>
        <v>48.375</v>
      </c>
      <c r="I60" s="17" t="str">
        <f aca="false">IF(G60&gt;F60,"Yes","No")</f>
        <v>Yes</v>
      </c>
      <c r="J60" s="18" t="n">
        <f aca="false">H60*D60</f>
        <v>425.7</v>
      </c>
      <c r="K60" s="18" t="n">
        <f aca="false">C60-J60</f>
        <v>294.3</v>
      </c>
      <c r="L60" s="19" t="n">
        <f aca="false">H60*Assumptions!$E$51</f>
        <v>4.8375</v>
      </c>
      <c r="M60" s="19" t="n">
        <f aca="false">L60*Assumptions!$E$52</f>
        <v>2.176875</v>
      </c>
      <c r="N60" s="19" t="n">
        <f aca="false">M60*Assumptions!$E$53</f>
        <v>1.41496875</v>
      </c>
      <c r="O60" s="19" t="n">
        <f aca="false">N60*Assumptions!$E$54</f>
        <v>1.2027234375</v>
      </c>
      <c r="P60" s="21" t="n">
        <f aca="false">IF(M60&gt;0,J60/M60,0)</f>
        <v>195.555555555556</v>
      </c>
      <c r="Q60" s="21" t="n">
        <f aca="false">IF(N60&gt;0,J60/N60,0)</f>
        <v>300.854700854701</v>
      </c>
      <c r="R60" s="21" t="n">
        <f aca="false">IF(O60&gt;0,J60/O60,0)</f>
        <v>353.946706887883</v>
      </c>
    </row>
    <row r="61" customFormat="false" ht="15" hidden="false" customHeight="false" outlineLevel="0" collapsed="false">
      <c r="A61" s="7" t="s">
        <v>413</v>
      </c>
      <c r="B61" s="23" t="n">
        <f aca="false">Assumptions!$E$70</f>
        <v>0.06</v>
      </c>
      <c r="C61" s="18" t="n">
        <f aca="false">Assumptions!$E$57*B61</f>
        <v>360</v>
      </c>
      <c r="D61" s="20" t="n">
        <f aca="false">Assumptions!$E$42</f>
        <v>7.7</v>
      </c>
      <c r="E61" s="24" t="n">
        <f aca="false">(Assumptions!$E$11+Assumptions!$E$18*Assumptions!$E$29)*Assumptions!$E$21</f>
        <v>1037.5</v>
      </c>
      <c r="F61" s="19" t="n">
        <f aca="false">E61*Assumptions!$E$22*Assumptions!$E$25</f>
        <v>46.6875</v>
      </c>
      <c r="G61" s="19" t="n">
        <f aca="false">IFERROR(C61/D61,0)</f>
        <v>46.7532467532468</v>
      </c>
      <c r="H61" s="19" t="n">
        <f aca="false">MIN(F61,G61)</f>
        <v>46.6875</v>
      </c>
      <c r="I61" s="17" t="str">
        <f aca="false">IF(G61&gt;F61,"Yes","No")</f>
        <v>Yes</v>
      </c>
      <c r="J61" s="18" t="n">
        <f aca="false">H61*D61</f>
        <v>359.49375</v>
      </c>
      <c r="K61" s="18" t="n">
        <f aca="false">C61-J61</f>
        <v>0.506249999999966</v>
      </c>
      <c r="L61" s="19" t="n">
        <f aca="false">H61*Assumptions!$E$51</f>
        <v>4.66875</v>
      </c>
      <c r="M61" s="19" t="n">
        <f aca="false">L61*Assumptions!$E$52</f>
        <v>2.1009375</v>
      </c>
      <c r="N61" s="19" t="n">
        <f aca="false">M61*Assumptions!$E$53</f>
        <v>1.365609375</v>
      </c>
      <c r="O61" s="19" t="n">
        <f aca="false">N61*Assumptions!$E$54</f>
        <v>1.16076796875</v>
      </c>
      <c r="P61" s="21" t="n">
        <f aca="false">IF(M61&gt;0,J61/M61,0)</f>
        <v>171.111111111111</v>
      </c>
      <c r="Q61" s="21" t="n">
        <f aca="false">IF(N61&gt;0,J61/N61,0)</f>
        <v>263.247863247863</v>
      </c>
      <c r="R61" s="21" t="n">
        <f aca="false">IF(O61&gt;0,J61/O61,0)</f>
        <v>309.703368526898</v>
      </c>
    </row>
    <row r="62" customFormat="false" ht="15" hidden="false" customHeight="false" outlineLevel="0" collapsed="false">
      <c r="A62" s="7" t="s">
        <v>414</v>
      </c>
      <c r="B62" s="23" t="n">
        <f aca="false">Assumptions!$E$71</f>
        <v>0.1</v>
      </c>
      <c r="C62" s="18" t="n">
        <f aca="false">Assumptions!$E$57*B62</f>
        <v>600</v>
      </c>
      <c r="D62" s="20" t="n">
        <f aca="false">Assumptions!$E$43</f>
        <v>8.8</v>
      </c>
      <c r="E62" s="24" t="n">
        <f aca="false">(Assumptions!$E$12+Assumptions!$E$19*Assumptions!$E$29)*Assumptions!$E$21</f>
        <v>887.5</v>
      </c>
      <c r="F62" s="19" t="n">
        <f aca="false">E62*Assumptions!$E$22*Assumptions!$E$25</f>
        <v>39.9375</v>
      </c>
      <c r="G62" s="19" t="n">
        <f aca="false">IFERROR(C62/D62,0)</f>
        <v>68.1818181818182</v>
      </c>
      <c r="H62" s="19" t="n">
        <f aca="false">MIN(F62,G62)</f>
        <v>39.9375</v>
      </c>
      <c r="I62" s="17" t="str">
        <f aca="false">IF(G62&gt;F62,"Yes","No")</f>
        <v>Yes</v>
      </c>
      <c r="J62" s="18" t="n">
        <f aca="false">H62*D62</f>
        <v>351.45</v>
      </c>
      <c r="K62" s="18" t="n">
        <f aca="false">C62-J62</f>
        <v>248.55</v>
      </c>
      <c r="L62" s="19" t="n">
        <f aca="false">H62*Assumptions!$E$51</f>
        <v>3.99375</v>
      </c>
      <c r="M62" s="19" t="n">
        <f aca="false">L62*Assumptions!$E$52</f>
        <v>1.7971875</v>
      </c>
      <c r="N62" s="19" t="n">
        <f aca="false">M62*Assumptions!$E$53</f>
        <v>1.168171875</v>
      </c>
      <c r="O62" s="19" t="n">
        <f aca="false">N62*Assumptions!$E$54</f>
        <v>0.99294609375</v>
      </c>
      <c r="P62" s="21" t="n">
        <f aca="false">IF(M62&gt;0,J62/M62,0)</f>
        <v>195.555555555556</v>
      </c>
      <c r="Q62" s="21" t="n">
        <f aca="false">IF(N62&gt;0,J62/N62,0)</f>
        <v>300.854700854701</v>
      </c>
      <c r="R62" s="21" t="n">
        <f aca="false">IF(O62&gt;0,J62/O62,0)</f>
        <v>353.946706887883</v>
      </c>
    </row>
    <row r="63" customFormat="false" ht="15" hidden="false" customHeight="false" outlineLevel="0" collapsed="false">
      <c r="A63" s="25" t="s">
        <v>415</v>
      </c>
      <c r="B63" s="26" t="n">
        <f aca="false">SUM(B57:B62)</f>
        <v>1</v>
      </c>
      <c r="C63" s="27" t="n">
        <f aca="false">SUM(C57:C62)</f>
        <v>6000</v>
      </c>
      <c r="D63" s="28" t="n">
        <f aca="false">IF(H63&gt;0,J63/H63,0)</f>
        <v>9.85666239590006</v>
      </c>
      <c r="E63" s="29" t="n">
        <f aca="false">SUM(E57:E62)</f>
        <v>7805</v>
      </c>
      <c r="F63" s="30" t="n">
        <f aca="false">SUM(F57:F62)</f>
        <v>351.225</v>
      </c>
      <c r="G63" s="30" t="n">
        <f aca="false">SUM(G57:G62)</f>
        <v>603.116883116883</v>
      </c>
      <c r="H63" s="30" t="n">
        <f aca="false">SUM(H57:H62)</f>
        <v>351.225</v>
      </c>
      <c r="I63" s="31" t="str">
        <f aca="false">IF(COUNTIF(I57:I62,"Yes")&gt;0,"Yes, some","No")</f>
        <v>Yes, some</v>
      </c>
      <c r="J63" s="27" t="n">
        <f aca="false">SUM(J57:J62)</f>
        <v>3461.90625</v>
      </c>
      <c r="K63" s="27" t="n">
        <f aca="false">SUM(K57:K62)</f>
        <v>2538.09375</v>
      </c>
      <c r="L63" s="30" t="n">
        <f aca="false">SUM(L57:L62)</f>
        <v>35.1225</v>
      </c>
      <c r="M63" s="30" t="n">
        <f aca="false">SUM(M57:M62)</f>
        <v>15.805125</v>
      </c>
      <c r="N63" s="30" t="n">
        <f aca="false">SUM(N57:N62)</f>
        <v>10.27333125</v>
      </c>
      <c r="O63" s="30" t="n">
        <f aca="false">SUM(O57:O62)</f>
        <v>8.7323315625</v>
      </c>
      <c r="P63" s="32" t="n">
        <f aca="false">IF(M63&gt;0,J63/M63,0)</f>
        <v>219.036942131113</v>
      </c>
      <c r="Q63" s="32" t="n">
        <f aca="false">IF(N63&gt;0,J63/N63,0)</f>
        <v>336.979910970942</v>
      </c>
      <c r="R63" s="32" t="n">
        <f aca="false">IF(O63&gt;0,J63/O63,0)</f>
        <v>396.446954083462</v>
      </c>
    </row>
    <row r="65" customFormat="false" ht="15" hidden="false" customHeight="false" outlineLevel="0" collapsed="false">
      <c r="A65" s="5" t="s">
        <v>420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customFormat="false" ht="42" hidden="false" customHeight="true" outlineLevel="0" collapsed="false">
      <c r="A66" s="16" t="s">
        <v>402</v>
      </c>
      <c r="B66" s="16" t="s">
        <v>403</v>
      </c>
      <c r="C66" s="16" t="s">
        <v>385</v>
      </c>
      <c r="D66" s="16" t="s">
        <v>404</v>
      </c>
      <c r="E66" s="16" t="s">
        <v>405</v>
      </c>
      <c r="F66" s="16" t="s">
        <v>406</v>
      </c>
      <c r="G66" s="16" t="s">
        <v>407</v>
      </c>
      <c r="H66" s="16" t="s">
        <v>408</v>
      </c>
      <c r="I66" s="16" t="s">
        <v>409</v>
      </c>
      <c r="J66" s="16" t="s">
        <v>386</v>
      </c>
      <c r="K66" s="16" t="s">
        <v>387</v>
      </c>
      <c r="L66" s="16" t="s">
        <v>390</v>
      </c>
      <c r="M66" s="16" t="s">
        <v>391</v>
      </c>
      <c r="N66" s="16" t="s">
        <v>392</v>
      </c>
      <c r="O66" s="16" t="s">
        <v>393</v>
      </c>
      <c r="P66" s="16" t="s">
        <v>394</v>
      </c>
      <c r="Q66" s="16" t="s">
        <v>395</v>
      </c>
      <c r="R66" s="16" t="s">
        <v>396</v>
      </c>
    </row>
    <row r="67" customFormat="false" ht="15" hidden="false" customHeight="false" outlineLevel="0" collapsed="false">
      <c r="A67" s="7" t="s">
        <v>410</v>
      </c>
      <c r="B67" s="23" t="n">
        <f aca="false">Assumptions!$F$66</f>
        <v>0.32</v>
      </c>
      <c r="C67" s="18" t="n">
        <f aca="false">Assumptions!$F$57*B67</f>
        <v>1920</v>
      </c>
      <c r="D67" s="20" t="n">
        <f aca="false">Assumptions!$F$38</f>
        <v>17.6</v>
      </c>
      <c r="E67" s="24" t="n">
        <f aca="false">(Assumptions!$F$7+Assumptions!$F$14*Assumptions!$F$29)*Assumptions!$F$21</f>
        <v>3957</v>
      </c>
      <c r="F67" s="19" t="n">
        <f aca="false">E67*Assumptions!$F$22*Assumptions!$F$25</f>
        <v>296.775</v>
      </c>
      <c r="G67" s="19" t="n">
        <f aca="false">IFERROR(C67/D67,0)</f>
        <v>109.090909090909</v>
      </c>
      <c r="H67" s="19" t="n">
        <f aca="false">MIN(F67,G67)</f>
        <v>109.090909090909</v>
      </c>
      <c r="I67" s="17" t="str">
        <f aca="false">IF(G67&gt;F67,"Yes","No")</f>
        <v>No</v>
      </c>
      <c r="J67" s="18" t="n">
        <f aca="false">H67*D67</f>
        <v>1920</v>
      </c>
      <c r="K67" s="18" t="n">
        <f aca="false">C67-J67</f>
        <v>0</v>
      </c>
      <c r="L67" s="19" t="n">
        <f aca="false">H67*Assumptions!$F$51</f>
        <v>15.2727272727273</v>
      </c>
      <c r="M67" s="19" t="n">
        <f aca="false">L67*Assumptions!$F$52</f>
        <v>9.16363636363636</v>
      </c>
      <c r="N67" s="19" t="n">
        <f aca="false">M67*Assumptions!$F$53</f>
        <v>7.33090909090909</v>
      </c>
      <c r="O67" s="19" t="n">
        <f aca="false">N67*Assumptions!$F$54</f>
        <v>6.74443636363637</v>
      </c>
      <c r="P67" s="21" t="n">
        <f aca="false">IF(M67&gt;0,J67/M67,0)</f>
        <v>209.52380952381</v>
      </c>
      <c r="Q67" s="21" t="n">
        <f aca="false">IF(N67&gt;0,J67/N67,0)</f>
        <v>261.904761904762</v>
      </c>
      <c r="R67" s="21" t="n">
        <f aca="false">IF(O67&gt;0,J67/O67,0)</f>
        <v>284.679089026915</v>
      </c>
    </row>
    <row r="68" customFormat="false" ht="15" hidden="false" customHeight="false" outlineLevel="0" collapsed="false">
      <c r="A68" s="7" t="s">
        <v>411</v>
      </c>
      <c r="B68" s="23" t="n">
        <f aca="false">Assumptions!$F$67</f>
        <v>0.3</v>
      </c>
      <c r="C68" s="18" t="n">
        <f aca="false">Assumptions!$F$57*B68</f>
        <v>1800</v>
      </c>
      <c r="D68" s="20" t="n">
        <f aca="false">Assumptions!$F$39</f>
        <v>17.6</v>
      </c>
      <c r="E68" s="24" t="n">
        <f aca="false">(Assumptions!$F$8+Assumptions!$F$15*Assumptions!$F$29)*Assumptions!$F$21</f>
        <v>5310</v>
      </c>
      <c r="F68" s="19" t="n">
        <f aca="false">E68*Assumptions!$F$22*Assumptions!$F$25</f>
        <v>398.25</v>
      </c>
      <c r="G68" s="19" t="n">
        <f aca="false">IFERROR(C68/D68,0)</f>
        <v>102.272727272727</v>
      </c>
      <c r="H68" s="19" t="n">
        <f aca="false">MIN(F68,G68)</f>
        <v>102.272727272727</v>
      </c>
      <c r="I68" s="17" t="str">
        <f aca="false">IF(G68&gt;F68,"Yes","No")</f>
        <v>No</v>
      </c>
      <c r="J68" s="18" t="n">
        <f aca="false">H68*D68</f>
        <v>1800</v>
      </c>
      <c r="K68" s="18" t="n">
        <f aca="false">C68-J68</f>
        <v>0</v>
      </c>
      <c r="L68" s="19" t="n">
        <f aca="false">H68*Assumptions!$F$51</f>
        <v>14.3181818181818</v>
      </c>
      <c r="M68" s="19" t="n">
        <f aca="false">L68*Assumptions!$F$52</f>
        <v>8.59090909090909</v>
      </c>
      <c r="N68" s="19" t="n">
        <f aca="false">M68*Assumptions!$F$53</f>
        <v>6.87272727272727</v>
      </c>
      <c r="O68" s="19" t="n">
        <f aca="false">N68*Assumptions!$F$54</f>
        <v>6.32290909090909</v>
      </c>
      <c r="P68" s="21" t="n">
        <f aca="false">IF(M68&gt;0,J68/M68,0)</f>
        <v>209.52380952381</v>
      </c>
      <c r="Q68" s="21" t="n">
        <f aca="false">IF(N68&gt;0,J68/N68,0)</f>
        <v>261.904761904762</v>
      </c>
      <c r="R68" s="21" t="n">
        <f aca="false">IF(O68&gt;0,J68/O68,0)</f>
        <v>284.679089026915</v>
      </c>
    </row>
    <row r="69" customFormat="false" ht="15" hidden="false" customHeight="false" outlineLevel="0" collapsed="false">
      <c r="A69" s="7" t="s">
        <v>412</v>
      </c>
      <c r="B69" s="23" t="n">
        <f aca="false">Assumptions!$F$68</f>
        <v>0.1</v>
      </c>
      <c r="C69" s="18" t="n">
        <f aca="false">Assumptions!$F$57*B69</f>
        <v>600</v>
      </c>
      <c r="D69" s="20" t="n">
        <f aca="false">Assumptions!$F$40</f>
        <v>14.3</v>
      </c>
      <c r="E69" s="24" t="n">
        <f aca="false">(Assumptions!$F$9+Assumptions!$F$16*Assumptions!$F$29)*Assumptions!$F$21</f>
        <v>1395</v>
      </c>
      <c r="F69" s="19" t="n">
        <f aca="false">E69*Assumptions!$F$22*Assumptions!$F$25</f>
        <v>104.625</v>
      </c>
      <c r="G69" s="19" t="n">
        <f aca="false">IFERROR(C69/D69,0)</f>
        <v>41.958041958042</v>
      </c>
      <c r="H69" s="19" t="n">
        <f aca="false">MIN(F69,G69)</f>
        <v>41.958041958042</v>
      </c>
      <c r="I69" s="17" t="str">
        <f aca="false">IF(G69&gt;F69,"Yes","No")</f>
        <v>No</v>
      </c>
      <c r="J69" s="18" t="n">
        <f aca="false">H69*D69</f>
        <v>600</v>
      </c>
      <c r="K69" s="18" t="n">
        <f aca="false">C69-J69</f>
        <v>0</v>
      </c>
      <c r="L69" s="19" t="n">
        <f aca="false">H69*Assumptions!$F$51</f>
        <v>5.87412587412587</v>
      </c>
      <c r="M69" s="19" t="n">
        <f aca="false">L69*Assumptions!$F$52</f>
        <v>3.52447552447552</v>
      </c>
      <c r="N69" s="19" t="n">
        <f aca="false">M69*Assumptions!$F$53</f>
        <v>2.81958041958042</v>
      </c>
      <c r="O69" s="19" t="n">
        <f aca="false">N69*Assumptions!$F$54</f>
        <v>2.59401398601399</v>
      </c>
      <c r="P69" s="21" t="n">
        <f aca="false">IF(M69&gt;0,J69/M69,0)</f>
        <v>170.238095238095</v>
      </c>
      <c r="Q69" s="21" t="n">
        <f aca="false">IF(N69&gt;0,J69/N69,0)</f>
        <v>212.797619047619</v>
      </c>
      <c r="R69" s="21" t="n">
        <f aca="false">IF(O69&gt;0,J69/O69,0)</f>
        <v>231.301759834369</v>
      </c>
    </row>
    <row r="70" customFormat="false" ht="15" hidden="false" customHeight="false" outlineLevel="0" collapsed="false">
      <c r="A70" s="7" t="s">
        <v>312</v>
      </c>
      <c r="B70" s="23" t="n">
        <f aca="false">Assumptions!$F$69</f>
        <v>0.12</v>
      </c>
      <c r="C70" s="18" t="n">
        <f aca="false">Assumptions!$F$57*B70</f>
        <v>720</v>
      </c>
      <c r="D70" s="20" t="n">
        <f aca="false">Assumptions!$F$41</f>
        <v>14.3</v>
      </c>
      <c r="E70" s="24" t="n">
        <f aca="false">(Assumptions!$F$10+Assumptions!$F$17*Assumptions!$F$29)*Assumptions!$F$21</f>
        <v>2280</v>
      </c>
      <c r="F70" s="19" t="n">
        <f aca="false">E70*Assumptions!$F$22*Assumptions!$F$25</f>
        <v>171</v>
      </c>
      <c r="G70" s="19" t="n">
        <f aca="false">IFERROR(C70/D70,0)</f>
        <v>50.3496503496504</v>
      </c>
      <c r="H70" s="19" t="n">
        <f aca="false">MIN(F70,G70)</f>
        <v>50.3496503496504</v>
      </c>
      <c r="I70" s="17" t="str">
        <f aca="false">IF(G70&gt;F70,"Yes","No")</f>
        <v>No</v>
      </c>
      <c r="J70" s="18" t="n">
        <f aca="false">H70*D70</f>
        <v>720</v>
      </c>
      <c r="K70" s="18" t="n">
        <f aca="false">C70-J70</f>
        <v>0</v>
      </c>
      <c r="L70" s="19" t="n">
        <f aca="false">H70*Assumptions!$F$51</f>
        <v>7.04895104895105</v>
      </c>
      <c r="M70" s="19" t="n">
        <f aca="false">L70*Assumptions!$F$52</f>
        <v>4.22937062937063</v>
      </c>
      <c r="N70" s="19" t="n">
        <f aca="false">M70*Assumptions!$F$53</f>
        <v>3.3834965034965</v>
      </c>
      <c r="O70" s="19" t="n">
        <f aca="false">N70*Assumptions!$F$54</f>
        <v>3.11281678321678</v>
      </c>
      <c r="P70" s="21" t="n">
        <f aca="false">IF(M70&gt;0,J70/M70,0)</f>
        <v>170.238095238095</v>
      </c>
      <c r="Q70" s="21" t="n">
        <f aca="false">IF(N70&gt;0,J70/N70,0)</f>
        <v>212.797619047619</v>
      </c>
      <c r="R70" s="21" t="n">
        <f aca="false">IF(O70&gt;0,J70/O70,0)</f>
        <v>231.301759834368</v>
      </c>
    </row>
    <row r="71" customFormat="false" ht="15" hidden="false" customHeight="false" outlineLevel="0" collapsed="false">
      <c r="A71" s="7" t="s">
        <v>413</v>
      </c>
      <c r="B71" s="23" t="n">
        <f aca="false">Assumptions!$F$70</f>
        <v>0.06</v>
      </c>
      <c r="C71" s="18" t="n">
        <f aca="false">Assumptions!$F$57*B71</f>
        <v>360</v>
      </c>
      <c r="D71" s="20" t="n">
        <f aca="false">Assumptions!$F$42</f>
        <v>13.2</v>
      </c>
      <c r="E71" s="24" t="n">
        <f aca="false">(Assumptions!$F$11+Assumptions!$F$18*Assumptions!$F$29)*Assumptions!$F$21</f>
        <v>2190</v>
      </c>
      <c r="F71" s="19" t="n">
        <f aca="false">E71*Assumptions!$F$22*Assumptions!$F$25</f>
        <v>164.25</v>
      </c>
      <c r="G71" s="19" t="n">
        <f aca="false">IFERROR(C71/D71,0)</f>
        <v>27.2727272727273</v>
      </c>
      <c r="H71" s="19" t="n">
        <f aca="false">MIN(F71,G71)</f>
        <v>27.2727272727273</v>
      </c>
      <c r="I71" s="17" t="str">
        <f aca="false">IF(G71&gt;F71,"Yes","No")</f>
        <v>No</v>
      </c>
      <c r="J71" s="18" t="n">
        <f aca="false">H71*D71</f>
        <v>360</v>
      </c>
      <c r="K71" s="18" t="n">
        <f aca="false">C71-J71</f>
        <v>0</v>
      </c>
      <c r="L71" s="19" t="n">
        <f aca="false">H71*Assumptions!$F$51</f>
        <v>3.81818181818182</v>
      </c>
      <c r="M71" s="19" t="n">
        <f aca="false">L71*Assumptions!$F$52</f>
        <v>2.29090909090909</v>
      </c>
      <c r="N71" s="19" t="n">
        <f aca="false">M71*Assumptions!$F$53</f>
        <v>1.83272727272727</v>
      </c>
      <c r="O71" s="19" t="n">
        <f aca="false">N71*Assumptions!$F$54</f>
        <v>1.68610909090909</v>
      </c>
      <c r="P71" s="21" t="n">
        <f aca="false">IF(M71&gt;0,J71/M71,0)</f>
        <v>157.142857142857</v>
      </c>
      <c r="Q71" s="21" t="n">
        <f aca="false">IF(N71&gt;0,J71/N71,0)</f>
        <v>196.428571428571</v>
      </c>
      <c r="R71" s="21" t="n">
        <f aca="false">IF(O71&gt;0,J71/O71,0)</f>
        <v>213.509316770186</v>
      </c>
    </row>
    <row r="72" customFormat="false" ht="15" hidden="false" customHeight="false" outlineLevel="0" collapsed="false">
      <c r="A72" s="7" t="s">
        <v>414</v>
      </c>
      <c r="B72" s="23" t="n">
        <f aca="false">Assumptions!$F$71</f>
        <v>0.1</v>
      </c>
      <c r="C72" s="18" t="n">
        <f aca="false">Assumptions!$F$57*B72</f>
        <v>600</v>
      </c>
      <c r="D72" s="20" t="n">
        <f aca="false">Assumptions!$F$43</f>
        <v>14.3</v>
      </c>
      <c r="E72" s="24" t="n">
        <f aca="false">(Assumptions!$F$12+Assumptions!$F$19*Assumptions!$F$29)*Assumptions!$F$21</f>
        <v>1890</v>
      </c>
      <c r="F72" s="19" t="n">
        <f aca="false">E72*Assumptions!$F$22*Assumptions!$F$25</f>
        <v>141.75</v>
      </c>
      <c r="G72" s="19" t="n">
        <f aca="false">IFERROR(C72/D72,0)</f>
        <v>41.958041958042</v>
      </c>
      <c r="H72" s="19" t="n">
        <f aca="false">MIN(F72,G72)</f>
        <v>41.958041958042</v>
      </c>
      <c r="I72" s="17" t="str">
        <f aca="false">IF(G72&gt;F72,"Yes","No")</f>
        <v>No</v>
      </c>
      <c r="J72" s="18" t="n">
        <f aca="false">H72*D72</f>
        <v>600</v>
      </c>
      <c r="K72" s="18" t="n">
        <f aca="false">C72-J72</f>
        <v>0</v>
      </c>
      <c r="L72" s="19" t="n">
        <f aca="false">H72*Assumptions!$F$51</f>
        <v>5.87412587412587</v>
      </c>
      <c r="M72" s="19" t="n">
        <f aca="false">L72*Assumptions!$F$52</f>
        <v>3.52447552447552</v>
      </c>
      <c r="N72" s="19" t="n">
        <f aca="false">M72*Assumptions!$F$53</f>
        <v>2.81958041958042</v>
      </c>
      <c r="O72" s="19" t="n">
        <f aca="false">N72*Assumptions!$F$54</f>
        <v>2.59401398601399</v>
      </c>
      <c r="P72" s="21" t="n">
        <f aca="false">IF(M72&gt;0,J72/M72,0)</f>
        <v>170.238095238095</v>
      </c>
      <c r="Q72" s="21" t="n">
        <f aca="false">IF(N72&gt;0,J72/N72,0)</f>
        <v>212.797619047619</v>
      </c>
      <c r="R72" s="21" t="n">
        <f aca="false">IF(O72&gt;0,J72/O72,0)</f>
        <v>231.301759834369</v>
      </c>
    </row>
    <row r="73" customFormat="false" ht="15" hidden="false" customHeight="false" outlineLevel="0" collapsed="false">
      <c r="A73" s="25" t="s">
        <v>415</v>
      </c>
      <c r="B73" s="26" t="n">
        <f aca="false">SUM(B67:B72)</f>
        <v>1</v>
      </c>
      <c r="C73" s="27" t="n">
        <f aca="false">SUM(C67:C72)</f>
        <v>6000</v>
      </c>
      <c r="D73" s="28" t="n">
        <f aca="false">IF(H73&gt;0,J73/H73,0)</f>
        <v>16.0900140646976</v>
      </c>
      <c r="E73" s="29" t="n">
        <f aca="false">SUM(E67:E72)</f>
        <v>17022</v>
      </c>
      <c r="F73" s="30" t="n">
        <f aca="false">SUM(F67:F72)</f>
        <v>1276.65</v>
      </c>
      <c r="G73" s="30" t="n">
        <f aca="false">SUM(G67:G72)</f>
        <v>372.902097902098</v>
      </c>
      <c r="H73" s="30" t="n">
        <f aca="false">SUM(H67:H72)</f>
        <v>372.902097902098</v>
      </c>
      <c r="I73" s="31" t="str">
        <f aca="false">IF(COUNTIF(I67:I72,"Yes")&gt;0,"Yes, some","No")</f>
        <v>No</v>
      </c>
      <c r="J73" s="27" t="n">
        <f aca="false">SUM(J67:J72)</f>
        <v>6000</v>
      </c>
      <c r="K73" s="27" t="n">
        <f aca="false">SUM(K67:K72)</f>
        <v>0</v>
      </c>
      <c r="L73" s="30" t="n">
        <f aca="false">SUM(L67:L72)</f>
        <v>52.2062937062937</v>
      </c>
      <c r="M73" s="30" t="n">
        <f aca="false">SUM(M67:M72)</f>
        <v>31.3237762237762</v>
      </c>
      <c r="N73" s="30" t="n">
        <f aca="false">SUM(N67:N72)</f>
        <v>25.059020979021</v>
      </c>
      <c r="O73" s="30" t="n">
        <f aca="false">SUM(O67:O72)</f>
        <v>23.0542993006993</v>
      </c>
      <c r="P73" s="32" t="n">
        <f aca="false">IF(M73&gt;0,J73/M73,0)</f>
        <v>191.547786484495</v>
      </c>
      <c r="Q73" s="32" t="n">
        <f aca="false">IF(N73&gt;0,J73/N73,0)</f>
        <v>239.434733105619</v>
      </c>
      <c r="R73" s="32" t="n">
        <f aca="false">IF(O73&gt;0,J73/O73,0)</f>
        <v>260.255144680021</v>
      </c>
    </row>
    <row r="75" customFormat="false" ht="15" hidden="false" customHeight="false" outlineLevel="0" collapsed="false">
      <c r="A75" s="5" t="s">
        <v>421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customFormat="false" ht="42" hidden="false" customHeight="true" outlineLevel="0" collapsed="false">
      <c r="A76" s="16" t="s">
        <v>402</v>
      </c>
      <c r="B76" s="16" t="s">
        <v>403</v>
      </c>
      <c r="C76" s="16" t="s">
        <v>385</v>
      </c>
      <c r="D76" s="16" t="s">
        <v>404</v>
      </c>
      <c r="E76" s="16" t="s">
        <v>405</v>
      </c>
      <c r="F76" s="16" t="s">
        <v>406</v>
      </c>
      <c r="G76" s="16" t="s">
        <v>407</v>
      </c>
      <c r="H76" s="16" t="s">
        <v>408</v>
      </c>
      <c r="I76" s="16" t="s">
        <v>409</v>
      </c>
      <c r="J76" s="16" t="s">
        <v>386</v>
      </c>
      <c r="K76" s="16" t="s">
        <v>387</v>
      </c>
      <c r="L76" s="16" t="s">
        <v>390</v>
      </c>
      <c r="M76" s="16" t="s">
        <v>391</v>
      </c>
      <c r="N76" s="16" t="s">
        <v>392</v>
      </c>
      <c r="O76" s="16" t="s">
        <v>393</v>
      </c>
      <c r="P76" s="16" t="s">
        <v>394</v>
      </c>
      <c r="Q76" s="16" t="s">
        <v>395</v>
      </c>
      <c r="R76" s="16" t="s">
        <v>396</v>
      </c>
    </row>
    <row r="77" customFormat="false" ht="15" hidden="false" customHeight="false" outlineLevel="0" collapsed="false">
      <c r="A77" s="7" t="s">
        <v>410</v>
      </c>
      <c r="B77" s="23" t="n">
        <f aca="false">Assumptions!$D$72</f>
        <v>0.3</v>
      </c>
      <c r="C77" s="18" t="n">
        <f aca="false">Assumptions!$D$58*B77</f>
        <v>2700</v>
      </c>
      <c r="D77" s="20" t="n">
        <f aca="false">Assumptions!$D$44</f>
        <v>8.4</v>
      </c>
      <c r="E77" s="24" t="n">
        <f aca="false">(Assumptions!$D$7+Assumptions!$D$14*Assumptions!$D$30)*Assumptions!$D$21</f>
        <v>877</v>
      </c>
      <c r="F77" s="19" t="n">
        <f aca="false">E77*Assumptions!$D$22*Assumptions!$D$26</f>
        <v>17.54</v>
      </c>
      <c r="G77" s="19" t="n">
        <f aca="false">IFERROR(C77/D77,0)</f>
        <v>321.428571428571</v>
      </c>
      <c r="H77" s="19" t="n">
        <f aca="false">MIN(F77,G77)</f>
        <v>17.54</v>
      </c>
      <c r="I77" s="17" t="str">
        <f aca="false">IF(G77&gt;F77,"Yes","No")</f>
        <v>Yes</v>
      </c>
      <c r="J77" s="18" t="n">
        <f aca="false">H77*D77</f>
        <v>147.336</v>
      </c>
      <c r="K77" s="18" t="n">
        <f aca="false">C77-J77</f>
        <v>2552.664</v>
      </c>
      <c r="L77" s="19" t="n">
        <f aca="false">H77*Assumptions!$D$51</f>
        <v>1.0524</v>
      </c>
      <c r="M77" s="19" t="n">
        <f aca="false">L77*Assumptions!$D$52</f>
        <v>0.31572</v>
      </c>
      <c r="N77" s="19" t="n">
        <f aca="false">M77*Assumptions!$D$53</f>
        <v>0.15786</v>
      </c>
      <c r="O77" s="19" t="n">
        <f aca="false">N77*Assumptions!$D$54</f>
        <v>0.118395</v>
      </c>
      <c r="P77" s="21" t="n">
        <f aca="false">IF(M77&gt;0,J77/M77,0)</f>
        <v>466.666666666667</v>
      </c>
      <c r="Q77" s="21" t="n">
        <f aca="false">IF(N77&gt;0,J77/N77,0)</f>
        <v>933.333333333333</v>
      </c>
      <c r="R77" s="21" t="n">
        <f aca="false">IF(O77&gt;0,J77/O77,0)</f>
        <v>1244.44444444444</v>
      </c>
    </row>
    <row r="78" customFormat="false" ht="15" hidden="false" customHeight="false" outlineLevel="0" collapsed="false">
      <c r="A78" s="7" t="s">
        <v>411</v>
      </c>
      <c r="B78" s="23" t="n">
        <f aca="false">Assumptions!$D$73</f>
        <v>0.3</v>
      </c>
      <c r="C78" s="18" t="n">
        <f aca="false">Assumptions!$D$58*B78</f>
        <v>2700</v>
      </c>
      <c r="D78" s="20" t="n">
        <f aca="false">Assumptions!$D$45</f>
        <v>8.4</v>
      </c>
      <c r="E78" s="24" t="n">
        <f aca="false">(Assumptions!$D$8+Assumptions!$D$15*Assumptions!$D$30)*Assumptions!$D$21</f>
        <v>1133</v>
      </c>
      <c r="F78" s="19" t="n">
        <f aca="false">E78*Assumptions!$D$22*Assumptions!$D$26</f>
        <v>22.66</v>
      </c>
      <c r="G78" s="19" t="n">
        <f aca="false">IFERROR(C78/D78,0)</f>
        <v>321.428571428571</v>
      </c>
      <c r="H78" s="19" t="n">
        <f aca="false">MIN(F78,G78)</f>
        <v>22.66</v>
      </c>
      <c r="I78" s="17" t="str">
        <f aca="false">IF(G78&gt;F78,"Yes","No")</f>
        <v>Yes</v>
      </c>
      <c r="J78" s="18" t="n">
        <f aca="false">H78*D78</f>
        <v>190.344</v>
      </c>
      <c r="K78" s="18" t="n">
        <f aca="false">C78-J78</f>
        <v>2509.656</v>
      </c>
      <c r="L78" s="19" t="n">
        <f aca="false">H78*Assumptions!$D$51</f>
        <v>1.3596</v>
      </c>
      <c r="M78" s="19" t="n">
        <f aca="false">L78*Assumptions!$D$52</f>
        <v>0.40788</v>
      </c>
      <c r="N78" s="19" t="n">
        <f aca="false">M78*Assumptions!$D$53</f>
        <v>0.20394</v>
      </c>
      <c r="O78" s="19" t="n">
        <f aca="false">N78*Assumptions!$D$54</f>
        <v>0.152955</v>
      </c>
      <c r="P78" s="21" t="n">
        <f aca="false">IF(M78&gt;0,J78/M78,0)</f>
        <v>466.666666666667</v>
      </c>
      <c r="Q78" s="21" t="n">
        <f aca="false">IF(N78&gt;0,J78/N78,0)</f>
        <v>933.333333333334</v>
      </c>
      <c r="R78" s="21" t="n">
        <f aca="false">IF(O78&gt;0,J78/O78,0)</f>
        <v>1244.44444444444</v>
      </c>
    </row>
    <row r="79" customFormat="false" ht="15" hidden="false" customHeight="false" outlineLevel="0" collapsed="false">
      <c r="A79" s="7" t="s">
        <v>412</v>
      </c>
      <c r="B79" s="23" t="n">
        <f aca="false">Assumptions!$D$74</f>
        <v>0.1</v>
      </c>
      <c r="C79" s="18" t="n">
        <f aca="false">Assumptions!$D$58*B79</f>
        <v>900</v>
      </c>
      <c r="D79" s="20" t="n">
        <f aca="false">Assumptions!$D$46</f>
        <v>6</v>
      </c>
      <c r="E79" s="24" t="n">
        <f aca="false">(Assumptions!$D$9+Assumptions!$D$16*Assumptions!$D$30)*Assumptions!$D$21</f>
        <v>253</v>
      </c>
      <c r="F79" s="19" t="n">
        <f aca="false">E79*Assumptions!$D$22*Assumptions!$D$26</f>
        <v>5.06</v>
      </c>
      <c r="G79" s="19" t="n">
        <f aca="false">IFERROR(C79/D79,0)</f>
        <v>150</v>
      </c>
      <c r="H79" s="19" t="n">
        <f aca="false">MIN(F79,G79)</f>
        <v>5.06</v>
      </c>
      <c r="I79" s="17" t="str">
        <f aca="false">IF(G79&gt;F79,"Yes","No")</f>
        <v>Yes</v>
      </c>
      <c r="J79" s="18" t="n">
        <f aca="false">H79*D79</f>
        <v>30.36</v>
      </c>
      <c r="K79" s="18" t="n">
        <f aca="false">C79-J79</f>
        <v>869.64</v>
      </c>
      <c r="L79" s="19" t="n">
        <f aca="false">H79*Assumptions!$D$51</f>
        <v>0.3036</v>
      </c>
      <c r="M79" s="19" t="n">
        <f aca="false">L79*Assumptions!$D$52</f>
        <v>0.09108</v>
      </c>
      <c r="N79" s="19" t="n">
        <f aca="false">M79*Assumptions!$D$53</f>
        <v>0.04554</v>
      </c>
      <c r="O79" s="19" t="n">
        <f aca="false">N79*Assumptions!$D$54</f>
        <v>0.034155</v>
      </c>
      <c r="P79" s="21" t="n">
        <f aca="false">IF(M79&gt;0,J79/M79,0)</f>
        <v>333.333333333333</v>
      </c>
      <c r="Q79" s="21" t="n">
        <f aca="false">IF(N79&gt;0,J79/N79,0)</f>
        <v>666.666666666667</v>
      </c>
      <c r="R79" s="21" t="n">
        <f aca="false">IF(O79&gt;0,J79/O79,0)</f>
        <v>888.888888888889</v>
      </c>
    </row>
    <row r="80" customFormat="false" ht="15" hidden="false" customHeight="false" outlineLevel="0" collapsed="false">
      <c r="A80" s="7" t="s">
        <v>312</v>
      </c>
      <c r="B80" s="23" t="n">
        <f aca="false">Assumptions!$D$75</f>
        <v>0.12</v>
      </c>
      <c r="C80" s="18" t="n">
        <f aca="false">Assumptions!$D$58*B80</f>
        <v>1080</v>
      </c>
      <c r="D80" s="20" t="n">
        <f aca="false">Assumptions!$D$47</f>
        <v>6</v>
      </c>
      <c r="E80" s="24" t="n">
        <f aca="false">(Assumptions!$D$10+Assumptions!$D$17*Assumptions!$D$30)*Assumptions!$D$21</f>
        <v>588</v>
      </c>
      <c r="F80" s="19" t="n">
        <f aca="false">E80*Assumptions!$D$22*Assumptions!$D$26</f>
        <v>11.76</v>
      </c>
      <c r="G80" s="19" t="n">
        <f aca="false">IFERROR(C80/D80,0)</f>
        <v>180</v>
      </c>
      <c r="H80" s="19" t="n">
        <f aca="false">MIN(F80,G80)</f>
        <v>11.76</v>
      </c>
      <c r="I80" s="17" t="str">
        <f aca="false">IF(G80&gt;F80,"Yes","No")</f>
        <v>Yes</v>
      </c>
      <c r="J80" s="18" t="n">
        <f aca="false">H80*D80</f>
        <v>70.56</v>
      </c>
      <c r="K80" s="18" t="n">
        <f aca="false">C80-J80</f>
        <v>1009.44</v>
      </c>
      <c r="L80" s="19" t="n">
        <f aca="false">H80*Assumptions!$D$51</f>
        <v>0.7056</v>
      </c>
      <c r="M80" s="19" t="n">
        <f aca="false">L80*Assumptions!$D$52</f>
        <v>0.21168</v>
      </c>
      <c r="N80" s="19" t="n">
        <f aca="false">M80*Assumptions!$D$53</f>
        <v>0.10584</v>
      </c>
      <c r="O80" s="19" t="n">
        <f aca="false">N80*Assumptions!$D$54</f>
        <v>0.07938</v>
      </c>
      <c r="P80" s="21" t="n">
        <f aca="false">IF(M80&gt;0,J80/M80,0)</f>
        <v>333.333333333333</v>
      </c>
      <c r="Q80" s="21" t="n">
        <f aca="false">IF(N80&gt;0,J80/N80,0)</f>
        <v>666.666666666667</v>
      </c>
      <c r="R80" s="21" t="n">
        <f aca="false">IF(O80&gt;0,J80/O80,0)</f>
        <v>888.888888888889</v>
      </c>
    </row>
    <row r="81" customFormat="false" ht="15" hidden="false" customHeight="false" outlineLevel="0" collapsed="false">
      <c r="A81" s="7" t="s">
        <v>413</v>
      </c>
      <c r="B81" s="23" t="n">
        <f aca="false">Assumptions!$D$76</f>
        <v>0.07</v>
      </c>
      <c r="C81" s="18" t="n">
        <f aca="false">Assumptions!$D$58*B81</f>
        <v>630</v>
      </c>
      <c r="D81" s="20" t="n">
        <f aca="false">Assumptions!$D$48</f>
        <v>4.8</v>
      </c>
      <c r="E81" s="24" t="n">
        <f aca="false">(Assumptions!$D$11+Assumptions!$D$18*Assumptions!$D$30)*Assumptions!$D$21</f>
        <v>635</v>
      </c>
      <c r="F81" s="19" t="n">
        <f aca="false">E81*Assumptions!$D$22*Assumptions!$D$26</f>
        <v>12.7</v>
      </c>
      <c r="G81" s="19" t="n">
        <f aca="false">IFERROR(C81/D81,0)</f>
        <v>131.25</v>
      </c>
      <c r="H81" s="19" t="n">
        <f aca="false">MIN(F81,G81)</f>
        <v>12.7</v>
      </c>
      <c r="I81" s="17" t="str">
        <f aca="false">IF(G81&gt;F81,"Yes","No")</f>
        <v>Yes</v>
      </c>
      <c r="J81" s="18" t="n">
        <f aca="false">H81*D81</f>
        <v>60.96</v>
      </c>
      <c r="K81" s="18" t="n">
        <f aca="false">C81-J81</f>
        <v>569.04</v>
      </c>
      <c r="L81" s="19" t="n">
        <f aca="false">H81*Assumptions!$D$51</f>
        <v>0.762</v>
      </c>
      <c r="M81" s="19" t="n">
        <f aca="false">L81*Assumptions!$D$52</f>
        <v>0.2286</v>
      </c>
      <c r="N81" s="19" t="n">
        <f aca="false">M81*Assumptions!$D$53</f>
        <v>0.1143</v>
      </c>
      <c r="O81" s="19" t="n">
        <f aca="false">N81*Assumptions!$D$54</f>
        <v>0.085725</v>
      </c>
      <c r="P81" s="21" t="n">
        <f aca="false">IF(M81&gt;0,J81/M81,0)</f>
        <v>266.666666666667</v>
      </c>
      <c r="Q81" s="21" t="n">
        <f aca="false">IF(N81&gt;0,J81/N81,0)</f>
        <v>533.333333333333</v>
      </c>
      <c r="R81" s="21" t="n">
        <f aca="false">IF(O81&gt;0,J81/O81,0)</f>
        <v>711.111111111111</v>
      </c>
    </row>
    <row r="82" customFormat="false" ht="15" hidden="false" customHeight="false" outlineLevel="0" collapsed="false">
      <c r="A82" s="7" t="s">
        <v>414</v>
      </c>
      <c r="B82" s="23" t="n">
        <f aca="false">Assumptions!$D$77</f>
        <v>0.11</v>
      </c>
      <c r="C82" s="18" t="n">
        <f aca="false">Assumptions!$D$58*B82</f>
        <v>990</v>
      </c>
      <c r="D82" s="20" t="n">
        <f aca="false">Assumptions!$D$49</f>
        <v>6</v>
      </c>
      <c r="E82" s="24" t="n">
        <f aca="false">(Assumptions!$D$12+Assumptions!$D$19*Assumptions!$D$30)*Assumptions!$D$21</f>
        <v>490.5</v>
      </c>
      <c r="F82" s="19" t="n">
        <f aca="false">E82*Assumptions!$D$22*Assumptions!$D$26</f>
        <v>9.81</v>
      </c>
      <c r="G82" s="19" t="n">
        <f aca="false">IFERROR(C82/D82,0)</f>
        <v>165</v>
      </c>
      <c r="H82" s="19" t="n">
        <f aca="false">MIN(F82,G82)</f>
        <v>9.81</v>
      </c>
      <c r="I82" s="17" t="str">
        <f aca="false">IF(G82&gt;F82,"Yes","No")</f>
        <v>Yes</v>
      </c>
      <c r="J82" s="18" t="n">
        <f aca="false">H82*D82</f>
        <v>58.86</v>
      </c>
      <c r="K82" s="18" t="n">
        <f aca="false">C82-J82</f>
        <v>931.14</v>
      </c>
      <c r="L82" s="19" t="n">
        <f aca="false">H82*Assumptions!$D$51</f>
        <v>0.5886</v>
      </c>
      <c r="M82" s="19" t="n">
        <f aca="false">L82*Assumptions!$D$52</f>
        <v>0.17658</v>
      </c>
      <c r="N82" s="19" t="n">
        <f aca="false">M82*Assumptions!$D$53</f>
        <v>0.08829</v>
      </c>
      <c r="O82" s="19" t="n">
        <f aca="false">N82*Assumptions!$D$54</f>
        <v>0.0662175</v>
      </c>
      <c r="P82" s="21" t="n">
        <f aca="false">IF(M82&gt;0,J82/M82,0)</f>
        <v>333.333333333333</v>
      </c>
      <c r="Q82" s="21" t="n">
        <f aca="false">IF(N82&gt;0,J82/N82,0)</f>
        <v>666.666666666667</v>
      </c>
      <c r="R82" s="21" t="n">
        <f aca="false">IF(O82&gt;0,J82/O82,0)</f>
        <v>888.888888888889</v>
      </c>
    </row>
    <row r="83" customFormat="false" ht="15" hidden="false" customHeight="false" outlineLevel="0" collapsed="false">
      <c r="A83" s="25" t="s">
        <v>415</v>
      </c>
      <c r="B83" s="26" t="n">
        <f aca="false">SUM(B77:B82)</f>
        <v>1</v>
      </c>
      <c r="C83" s="27" t="n">
        <f aca="false">SUM(C77:C82)</f>
        <v>9000</v>
      </c>
      <c r="D83" s="28" t="n">
        <f aca="false">IF(H83&gt;0,J83/H83,0)</f>
        <v>7.02150132025651</v>
      </c>
      <c r="E83" s="29" t="n">
        <f aca="false">SUM(E77:E82)</f>
        <v>3976.5</v>
      </c>
      <c r="F83" s="30" t="n">
        <f aca="false">SUM(F77:F82)</f>
        <v>79.53</v>
      </c>
      <c r="G83" s="30" t="n">
        <f aca="false">SUM(G77:G82)</f>
        <v>1269.10714285714</v>
      </c>
      <c r="H83" s="30" t="n">
        <f aca="false">SUM(H77:H82)</f>
        <v>79.53</v>
      </c>
      <c r="I83" s="31" t="str">
        <f aca="false">IF(COUNTIF(I77:I82,"Yes")&gt;0,"Yes, some","No")</f>
        <v>Yes, some</v>
      </c>
      <c r="J83" s="27" t="n">
        <f aca="false">SUM(J77:J82)</f>
        <v>558.42</v>
      </c>
      <c r="K83" s="27" t="n">
        <f aca="false">SUM(K77:K82)</f>
        <v>8441.58</v>
      </c>
      <c r="L83" s="30" t="n">
        <f aca="false">SUM(L77:L82)</f>
        <v>4.7718</v>
      </c>
      <c r="M83" s="30" t="n">
        <f aca="false">SUM(M77:M82)</f>
        <v>1.43154</v>
      </c>
      <c r="N83" s="30" t="n">
        <f aca="false">SUM(N77:N82)</f>
        <v>0.71577</v>
      </c>
      <c r="O83" s="30" t="n">
        <f aca="false">SUM(O77:O82)</f>
        <v>0.5368275</v>
      </c>
      <c r="P83" s="32" t="n">
        <f aca="false">IF(M83&gt;0,J83/M83,0)</f>
        <v>390.083406680917</v>
      </c>
      <c r="Q83" s="32" t="n">
        <f aca="false">IF(N83&gt;0,J83/N83,0)</f>
        <v>780.166813361834</v>
      </c>
      <c r="R83" s="32" t="n">
        <f aca="false">IF(O83&gt;0,J83/O83,0)</f>
        <v>1040.22241781578</v>
      </c>
    </row>
    <row r="85" customFormat="false" ht="15" hidden="false" customHeight="false" outlineLevel="0" collapsed="false">
      <c r="A85" s="5" t="s">
        <v>422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customFormat="false" ht="42" hidden="false" customHeight="true" outlineLevel="0" collapsed="false">
      <c r="A86" s="16" t="s">
        <v>402</v>
      </c>
      <c r="B86" s="16" t="s">
        <v>403</v>
      </c>
      <c r="C86" s="16" t="s">
        <v>385</v>
      </c>
      <c r="D86" s="16" t="s">
        <v>404</v>
      </c>
      <c r="E86" s="16" t="s">
        <v>405</v>
      </c>
      <c r="F86" s="16" t="s">
        <v>406</v>
      </c>
      <c r="G86" s="16" t="s">
        <v>407</v>
      </c>
      <c r="H86" s="16" t="s">
        <v>408</v>
      </c>
      <c r="I86" s="16" t="s">
        <v>409</v>
      </c>
      <c r="J86" s="16" t="s">
        <v>386</v>
      </c>
      <c r="K86" s="16" t="s">
        <v>387</v>
      </c>
      <c r="L86" s="16" t="s">
        <v>390</v>
      </c>
      <c r="M86" s="16" t="s">
        <v>391</v>
      </c>
      <c r="N86" s="16" t="s">
        <v>392</v>
      </c>
      <c r="O86" s="16" t="s">
        <v>393</v>
      </c>
      <c r="P86" s="16" t="s">
        <v>394</v>
      </c>
      <c r="Q86" s="16" t="s">
        <v>395</v>
      </c>
      <c r="R86" s="16" t="s">
        <v>396</v>
      </c>
    </row>
    <row r="87" customFormat="false" ht="15" hidden="false" customHeight="false" outlineLevel="0" collapsed="false">
      <c r="A87" s="7" t="s">
        <v>410</v>
      </c>
      <c r="B87" s="23" t="n">
        <f aca="false">Assumptions!$E$72</f>
        <v>0.3</v>
      </c>
      <c r="C87" s="18" t="n">
        <f aca="false">Assumptions!$E$58*B87</f>
        <v>2700</v>
      </c>
      <c r="D87" s="20" t="n">
        <f aca="false">Assumptions!$E$44</f>
        <v>12</v>
      </c>
      <c r="E87" s="24" t="n">
        <f aca="false">(Assumptions!$E$7+Assumptions!$E$14*Assumptions!$E$30)*Assumptions!$E$21</f>
        <v>1920.625</v>
      </c>
      <c r="F87" s="19" t="n">
        <f aca="false">E87*Assumptions!$E$22*Assumptions!$E$26</f>
        <v>80.66625</v>
      </c>
      <c r="G87" s="19" t="n">
        <f aca="false">IFERROR(C87/D87,0)</f>
        <v>225</v>
      </c>
      <c r="H87" s="19" t="n">
        <f aca="false">MIN(F87,G87)</f>
        <v>80.66625</v>
      </c>
      <c r="I87" s="17" t="str">
        <f aca="false">IF(G87&gt;F87,"Yes","No")</f>
        <v>Yes</v>
      </c>
      <c r="J87" s="18" t="n">
        <f aca="false">H87*D87</f>
        <v>967.995</v>
      </c>
      <c r="K87" s="18" t="n">
        <f aca="false">C87-J87</f>
        <v>1732.005</v>
      </c>
      <c r="L87" s="19" t="n">
        <f aca="false">H87*Assumptions!$E$51</f>
        <v>8.066625</v>
      </c>
      <c r="M87" s="19" t="n">
        <f aca="false">L87*Assumptions!$E$52</f>
        <v>3.62998125</v>
      </c>
      <c r="N87" s="19" t="n">
        <f aca="false">M87*Assumptions!$E$53</f>
        <v>2.3594878125</v>
      </c>
      <c r="O87" s="19" t="n">
        <f aca="false">N87*Assumptions!$E$54</f>
        <v>2.005564640625</v>
      </c>
      <c r="P87" s="21" t="n">
        <f aca="false">IF(M87&gt;0,J87/M87,0)</f>
        <v>266.666666666667</v>
      </c>
      <c r="Q87" s="21" t="n">
        <f aca="false">IF(N87&gt;0,J87/N87,0)</f>
        <v>410.25641025641</v>
      </c>
      <c r="R87" s="21" t="n">
        <f aca="false">IF(O87&gt;0,J87/O87,0)</f>
        <v>482.654600301659</v>
      </c>
    </row>
    <row r="88" customFormat="false" ht="15" hidden="false" customHeight="false" outlineLevel="0" collapsed="false">
      <c r="A88" s="7" t="s">
        <v>411</v>
      </c>
      <c r="B88" s="23" t="n">
        <f aca="false">Assumptions!$E$73</f>
        <v>0.3</v>
      </c>
      <c r="C88" s="18" t="n">
        <f aca="false">Assumptions!$E$58*B88</f>
        <v>2700</v>
      </c>
      <c r="D88" s="20" t="n">
        <f aca="false">Assumptions!$E$45</f>
        <v>12</v>
      </c>
      <c r="E88" s="24" t="n">
        <f aca="false">(Assumptions!$E$8+Assumptions!$E$15*Assumptions!$E$30)*Assumptions!$E$21</f>
        <v>2547.5</v>
      </c>
      <c r="F88" s="19" t="n">
        <f aca="false">E88*Assumptions!$E$22*Assumptions!$E$26</f>
        <v>106.995</v>
      </c>
      <c r="G88" s="19" t="n">
        <f aca="false">IFERROR(C88/D88,0)</f>
        <v>225</v>
      </c>
      <c r="H88" s="19" t="n">
        <f aca="false">MIN(F88,G88)</f>
        <v>106.995</v>
      </c>
      <c r="I88" s="17" t="str">
        <f aca="false">IF(G88&gt;F88,"Yes","No")</f>
        <v>Yes</v>
      </c>
      <c r="J88" s="18" t="n">
        <f aca="false">H88*D88</f>
        <v>1283.94</v>
      </c>
      <c r="K88" s="18" t="n">
        <f aca="false">C88-J88</f>
        <v>1416.06</v>
      </c>
      <c r="L88" s="19" t="n">
        <f aca="false">H88*Assumptions!$E$51</f>
        <v>10.6995</v>
      </c>
      <c r="M88" s="19" t="n">
        <f aca="false">L88*Assumptions!$E$52</f>
        <v>4.814775</v>
      </c>
      <c r="N88" s="19" t="n">
        <f aca="false">M88*Assumptions!$E$53</f>
        <v>3.12960375</v>
      </c>
      <c r="O88" s="19" t="n">
        <f aca="false">N88*Assumptions!$E$54</f>
        <v>2.6601631875</v>
      </c>
      <c r="P88" s="21" t="n">
        <f aca="false">IF(M88&gt;0,J88/M88,0)</f>
        <v>266.666666666667</v>
      </c>
      <c r="Q88" s="21" t="n">
        <f aca="false">IF(N88&gt;0,J88/N88,0)</f>
        <v>410.25641025641</v>
      </c>
      <c r="R88" s="21" t="n">
        <f aca="false">IF(O88&gt;0,J88/O88,0)</f>
        <v>482.654600301659</v>
      </c>
    </row>
    <row r="89" customFormat="false" ht="15" hidden="false" customHeight="false" outlineLevel="0" collapsed="false">
      <c r="A89" s="7" t="s">
        <v>412</v>
      </c>
      <c r="B89" s="23" t="n">
        <f aca="false">Assumptions!$E$74</f>
        <v>0.1</v>
      </c>
      <c r="C89" s="18" t="n">
        <f aca="false">Assumptions!$E$58*B89</f>
        <v>900</v>
      </c>
      <c r="D89" s="20" t="n">
        <f aca="false">Assumptions!$E$46</f>
        <v>9.6</v>
      </c>
      <c r="E89" s="24" t="n">
        <f aca="false">(Assumptions!$E$9+Assumptions!$E$16*Assumptions!$E$30)*Assumptions!$E$21</f>
        <v>687.5</v>
      </c>
      <c r="F89" s="19" t="n">
        <f aca="false">E89*Assumptions!$E$22*Assumptions!$E$26</f>
        <v>28.875</v>
      </c>
      <c r="G89" s="19" t="n">
        <f aca="false">IFERROR(C89/D89,0)</f>
        <v>93.75</v>
      </c>
      <c r="H89" s="19" t="n">
        <f aca="false">MIN(F89,G89)</f>
        <v>28.875</v>
      </c>
      <c r="I89" s="17" t="str">
        <f aca="false">IF(G89&gt;F89,"Yes","No")</f>
        <v>Yes</v>
      </c>
      <c r="J89" s="18" t="n">
        <f aca="false">H89*D89</f>
        <v>277.2</v>
      </c>
      <c r="K89" s="18" t="n">
        <f aca="false">C89-J89</f>
        <v>622.8</v>
      </c>
      <c r="L89" s="19" t="n">
        <f aca="false">H89*Assumptions!$E$51</f>
        <v>2.8875</v>
      </c>
      <c r="M89" s="19" t="n">
        <f aca="false">L89*Assumptions!$E$52</f>
        <v>1.299375</v>
      </c>
      <c r="N89" s="19" t="n">
        <f aca="false">M89*Assumptions!$E$53</f>
        <v>0.84459375</v>
      </c>
      <c r="O89" s="19" t="n">
        <f aca="false">N89*Assumptions!$E$54</f>
        <v>0.7179046875</v>
      </c>
      <c r="P89" s="21" t="n">
        <f aca="false">IF(M89&gt;0,J89/M89,0)</f>
        <v>213.333333333333</v>
      </c>
      <c r="Q89" s="21" t="n">
        <f aca="false">IF(N89&gt;0,J89/N89,0)</f>
        <v>328.205128205128</v>
      </c>
      <c r="R89" s="21" t="n">
        <f aca="false">IF(O89&gt;0,J89/O89,0)</f>
        <v>386.123680241327</v>
      </c>
    </row>
    <row r="90" customFormat="false" ht="15" hidden="false" customHeight="false" outlineLevel="0" collapsed="false">
      <c r="A90" s="7" t="s">
        <v>312</v>
      </c>
      <c r="B90" s="23" t="n">
        <f aca="false">Assumptions!$E$75</f>
        <v>0.12</v>
      </c>
      <c r="C90" s="18" t="n">
        <f aca="false">Assumptions!$E$58*B90</f>
        <v>1080</v>
      </c>
      <c r="D90" s="20" t="n">
        <f aca="false">Assumptions!$E$47</f>
        <v>9.6</v>
      </c>
      <c r="E90" s="24" t="n">
        <f aca="false">(Assumptions!$E$10+Assumptions!$E$17*Assumptions!$E$30)*Assumptions!$E$21</f>
        <v>1300</v>
      </c>
      <c r="F90" s="19" t="n">
        <f aca="false">E90*Assumptions!$E$22*Assumptions!$E$26</f>
        <v>54.6</v>
      </c>
      <c r="G90" s="19" t="n">
        <f aca="false">IFERROR(C90/D90,0)</f>
        <v>112.5</v>
      </c>
      <c r="H90" s="19" t="n">
        <f aca="false">MIN(F90,G90)</f>
        <v>54.6</v>
      </c>
      <c r="I90" s="17" t="str">
        <f aca="false">IF(G90&gt;F90,"Yes","No")</f>
        <v>Yes</v>
      </c>
      <c r="J90" s="18" t="n">
        <f aca="false">H90*D90</f>
        <v>524.16</v>
      </c>
      <c r="K90" s="18" t="n">
        <f aca="false">C90-J90</f>
        <v>555.84</v>
      </c>
      <c r="L90" s="19" t="n">
        <f aca="false">H90*Assumptions!$E$51</f>
        <v>5.46</v>
      </c>
      <c r="M90" s="19" t="n">
        <f aca="false">L90*Assumptions!$E$52</f>
        <v>2.457</v>
      </c>
      <c r="N90" s="19" t="n">
        <f aca="false">M90*Assumptions!$E$53</f>
        <v>1.59705</v>
      </c>
      <c r="O90" s="19" t="n">
        <f aca="false">N90*Assumptions!$E$54</f>
        <v>1.3574925</v>
      </c>
      <c r="P90" s="21" t="n">
        <f aca="false">IF(M90&gt;0,J90/M90,0)</f>
        <v>213.333333333333</v>
      </c>
      <c r="Q90" s="21" t="n">
        <f aca="false">IF(N90&gt;0,J90/N90,0)</f>
        <v>328.205128205128</v>
      </c>
      <c r="R90" s="21" t="n">
        <f aca="false">IF(O90&gt;0,J90/O90,0)</f>
        <v>386.123680241327</v>
      </c>
    </row>
    <row r="91" customFormat="false" ht="15" hidden="false" customHeight="false" outlineLevel="0" collapsed="false">
      <c r="A91" s="7" t="s">
        <v>413</v>
      </c>
      <c r="B91" s="23" t="n">
        <f aca="false">Assumptions!$E$76</f>
        <v>0.07</v>
      </c>
      <c r="C91" s="18" t="n">
        <f aca="false">Assumptions!$E$58*B91</f>
        <v>630</v>
      </c>
      <c r="D91" s="20" t="n">
        <f aca="false">Assumptions!$E$48</f>
        <v>8.4</v>
      </c>
      <c r="E91" s="24" t="n">
        <f aca="false">(Assumptions!$E$11+Assumptions!$E$18*Assumptions!$E$30)*Assumptions!$E$21</f>
        <v>1393.75</v>
      </c>
      <c r="F91" s="19" t="n">
        <f aca="false">E91*Assumptions!$E$22*Assumptions!$E$26</f>
        <v>58.5375</v>
      </c>
      <c r="G91" s="19" t="n">
        <f aca="false">IFERROR(C91/D91,0)</f>
        <v>75</v>
      </c>
      <c r="H91" s="19" t="n">
        <f aca="false">MIN(F91,G91)</f>
        <v>58.5375</v>
      </c>
      <c r="I91" s="17" t="str">
        <f aca="false">IF(G91&gt;F91,"Yes","No")</f>
        <v>Yes</v>
      </c>
      <c r="J91" s="18" t="n">
        <f aca="false">H91*D91</f>
        <v>491.715</v>
      </c>
      <c r="K91" s="18" t="n">
        <f aca="false">C91-J91</f>
        <v>138.285</v>
      </c>
      <c r="L91" s="19" t="n">
        <f aca="false">H91*Assumptions!$E$51</f>
        <v>5.85375</v>
      </c>
      <c r="M91" s="19" t="n">
        <f aca="false">L91*Assumptions!$E$52</f>
        <v>2.6341875</v>
      </c>
      <c r="N91" s="19" t="n">
        <f aca="false">M91*Assumptions!$E$53</f>
        <v>1.712221875</v>
      </c>
      <c r="O91" s="19" t="n">
        <f aca="false">N91*Assumptions!$E$54</f>
        <v>1.45538859375</v>
      </c>
      <c r="P91" s="21" t="n">
        <f aca="false">IF(M91&gt;0,J91/M91,0)</f>
        <v>186.666666666667</v>
      </c>
      <c r="Q91" s="21" t="n">
        <f aca="false">IF(N91&gt;0,J91/N91,0)</f>
        <v>287.179487179487</v>
      </c>
      <c r="R91" s="21" t="n">
        <f aca="false">IF(O91&gt;0,J91/O91,0)</f>
        <v>337.858220211161</v>
      </c>
    </row>
    <row r="92" customFormat="false" ht="15" hidden="false" customHeight="false" outlineLevel="0" collapsed="false">
      <c r="A92" s="7" t="s">
        <v>414</v>
      </c>
      <c r="B92" s="23" t="n">
        <f aca="false">Assumptions!$E$77</f>
        <v>0.11</v>
      </c>
      <c r="C92" s="18" t="n">
        <f aca="false">Assumptions!$E$58*B92</f>
        <v>990</v>
      </c>
      <c r="D92" s="20" t="n">
        <f aca="false">Assumptions!$E$49</f>
        <v>9.6</v>
      </c>
      <c r="E92" s="24" t="n">
        <f aca="false">(Assumptions!$E$12+Assumptions!$E$19*Assumptions!$E$30)*Assumptions!$E$21</f>
        <v>1093.75</v>
      </c>
      <c r="F92" s="19" t="n">
        <f aca="false">E92*Assumptions!$E$22*Assumptions!$E$26</f>
        <v>45.9375</v>
      </c>
      <c r="G92" s="19" t="n">
        <f aca="false">IFERROR(C92/D92,0)</f>
        <v>103.125</v>
      </c>
      <c r="H92" s="19" t="n">
        <f aca="false">MIN(F92,G92)</f>
        <v>45.9375</v>
      </c>
      <c r="I92" s="17" t="str">
        <f aca="false">IF(G92&gt;F92,"Yes","No")</f>
        <v>Yes</v>
      </c>
      <c r="J92" s="18" t="n">
        <f aca="false">H92*D92</f>
        <v>441</v>
      </c>
      <c r="K92" s="18" t="n">
        <f aca="false">C92-J92</f>
        <v>549</v>
      </c>
      <c r="L92" s="19" t="n">
        <f aca="false">H92*Assumptions!$E$51</f>
        <v>4.59375</v>
      </c>
      <c r="M92" s="19" t="n">
        <f aca="false">L92*Assumptions!$E$52</f>
        <v>2.0671875</v>
      </c>
      <c r="N92" s="19" t="n">
        <f aca="false">M92*Assumptions!$E$53</f>
        <v>1.343671875</v>
      </c>
      <c r="O92" s="19" t="n">
        <f aca="false">N92*Assumptions!$E$54</f>
        <v>1.14212109375</v>
      </c>
      <c r="P92" s="21" t="n">
        <f aca="false">IF(M92&gt;0,J92/M92,0)</f>
        <v>213.333333333333</v>
      </c>
      <c r="Q92" s="21" t="n">
        <f aca="false">IF(N92&gt;0,J92/N92,0)</f>
        <v>328.205128205128</v>
      </c>
      <c r="R92" s="21" t="n">
        <f aca="false">IF(O92&gt;0,J92/O92,0)</f>
        <v>386.123680241327</v>
      </c>
    </row>
    <row r="93" customFormat="false" ht="15" hidden="false" customHeight="false" outlineLevel="0" collapsed="false">
      <c r="A93" s="25" t="s">
        <v>415</v>
      </c>
      <c r="B93" s="26" t="n">
        <f aca="false">SUM(B87:B92)</f>
        <v>1</v>
      </c>
      <c r="C93" s="27" t="n">
        <f aca="false">SUM(C87:C92)</f>
        <v>9000</v>
      </c>
      <c r="D93" s="28" t="n">
        <f aca="false">IF(H93&gt;0,J93/H93,0)</f>
        <v>10.6120623383884</v>
      </c>
      <c r="E93" s="29" t="n">
        <f aca="false">SUM(E87:E92)</f>
        <v>8943.125</v>
      </c>
      <c r="F93" s="30" t="n">
        <f aca="false">SUM(F87:F92)</f>
        <v>375.61125</v>
      </c>
      <c r="G93" s="30" t="n">
        <f aca="false">SUM(G87:G92)</f>
        <v>834.375</v>
      </c>
      <c r="H93" s="30" t="n">
        <f aca="false">SUM(H87:H92)</f>
        <v>375.61125</v>
      </c>
      <c r="I93" s="31" t="str">
        <f aca="false">IF(COUNTIF(I87:I92,"Yes")&gt;0,"Yes, some","No")</f>
        <v>Yes, some</v>
      </c>
      <c r="J93" s="27" t="n">
        <f aca="false">SUM(J87:J92)</f>
        <v>3986.01</v>
      </c>
      <c r="K93" s="27" t="n">
        <f aca="false">SUM(K87:K92)</f>
        <v>5013.99</v>
      </c>
      <c r="L93" s="30" t="n">
        <f aca="false">SUM(L87:L92)</f>
        <v>37.561125</v>
      </c>
      <c r="M93" s="30" t="n">
        <f aca="false">SUM(M87:M92)</f>
        <v>16.90250625</v>
      </c>
      <c r="N93" s="30" t="n">
        <f aca="false">SUM(N87:N92)</f>
        <v>10.9866290625</v>
      </c>
      <c r="O93" s="30" t="n">
        <f aca="false">SUM(O87:O92)</f>
        <v>9.338634703125</v>
      </c>
      <c r="P93" s="32" t="n">
        <f aca="false">IF(M93&gt;0,J93/M93,0)</f>
        <v>235.823607519743</v>
      </c>
      <c r="Q93" s="32" t="n">
        <f aca="false">IF(N93&gt;0,J93/N93,0)</f>
        <v>362.805550030374</v>
      </c>
      <c r="R93" s="32" t="n">
        <f aca="false">IF(O93&gt;0,J93/O93,0)</f>
        <v>426.830058859263</v>
      </c>
    </row>
    <row r="95" customFormat="false" ht="15" hidden="false" customHeight="false" outlineLevel="0" collapsed="false">
      <c r="A95" s="5" t="s">
        <v>423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customFormat="false" ht="42" hidden="false" customHeight="true" outlineLevel="0" collapsed="false">
      <c r="A96" s="16" t="s">
        <v>402</v>
      </c>
      <c r="B96" s="16" t="s">
        <v>403</v>
      </c>
      <c r="C96" s="16" t="s">
        <v>385</v>
      </c>
      <c r="D96" s="16" t="s">
        <v>404</v>
      </c>
      <c r="E96" s="16" t="s">
        <v>405</v>
      </c>
      <c r="F96" s="16" t="s">
        <v>406</v>
      </c>
      <c r="G96" s="16" t="s">
        <v>407</v>
      </c>
      <c r="H96" s="16" t="s">
        <v>408</v>
      </c>
      <c r="I96" s="16" t="s">
        <v>409</v>
      </c>
      <c r="J96" s="16" t="s">
        <v>386</v>
      </c>
      <c r="K96" s="16" t="s">
        <v>387</v>
      </c>
      <c r="L96" s="16" t="s">
        <v>390</v>
      </c>
      <c r="M96" s="16" t="s">
        <v>391</v>
      </c>
      <c r="N96" s="16" t="s">
        <v>392</v>
      </c>
      <c r="O96" s="16" t="s">
        <v>393</v>
      </c>
      <c r="P96" s="16" t="s">
        <v>394</v>
      </c>
      <c r="Q96" s="16" t="s">
        <v>395</v>
      </c>
      <c r="R96" s="16" t="s">
        <v>396</v>
      </c>
    </row>
    <row r="97" customFormat="false" ht="15" hidden="false" customHeight="false" outlineLevel="0" collapsed="false">
      <c r="A97" s="7" t="s">
        <v>410</v>
      </c>
      <c r="B97" s="23" t="n">
        <f aca="false">Assumptions!$F$72</f>
        <v>0.3</v>
      </c>
      <c r="C97" s="18" t="n">
        <f aca="false">Assumptions!$F$58*B97</f>
        <v>2700</v>
      </c>
      <c r="D97" s="20" t="n">
        <f aca="false">Assumptions!$F$44</f>
        <v>19.2</v>
      </c>
      <c r="E97" s="24" t="n">
        <f aca="false">(Assumptions!$F$7+Assumptions!$F$14*Assumptions!$F$30)*Assumptions!$F$21</f>
        <v>4112.25</v>
      </c>
      <c r="F97" s="19" t="n">
        <f aca="false">E97*Assumptions!$F$22*Assumptions!$F$26</f>
        <v>277.576875</v>
      </c>
      <c r="G97" s="19" t="n">
        <f aca="false">IFERROR(C97/D97,0)</f>
        <v>140.625</v>
      </c>
      <c r="H97" s="19" t="n">
        <f aca="false">MIN(F97,G97)</f>
        <v>140.625</v>
      </c>
      <c r="I97" s="17" t="str">
        <f aca="false">IF(G97&gt;F97,"Yes","No")</f>
        <v>No</v>
      </c>
      <c r="J97" s="18" t="n">
        <f aca="false">H97*D97</f>
        <v>2700</v>
      </c>
      <c r="K97" s="18" t="n">
        <f aca="false">C97-J97</f>
        <v>0</v>
      </c>
      <c r="L97" s="19" t="n">
        <f aca="false">H97*Assumptions!$F$51</f>
        <v>19.6875</v>
      </c>
      <c r="M97" s="19" t="n">
        <f aca="false">L97*Assumptions!$F$52</f>
        <v>11.8125</v>
      </c>
      <c r="N97" s="19" t="n">
        <f aca="false">M97*Assumptions!$F$53</f>
        <v>9.45</v>
      </c>
      <c r="O97" s="19" t="n">
        <f aca="false">N97*Assumptions!$F$54</f>
        <v>8.694</v>
      </c>
      <c r="P97" s="21" t="n">
        <f aca="false">IF(M97&gt;0,J97/M97,0)</f>
        <v>228.571428571429</v>
      </c>
      <c r="Q97" s="21" t="n">
        <f aca="false">IF(N97&gt;0,J97/N97,0)</f>
        <v>285.714285714286</v>
      </c>
      <c r="R97" s="21" t="n">
        <f aca="false">IF(O97&gt;0,J97/O97,0)</f>
        <v>310.55900621118</v>
      </c>
    </row>
    <row r="98" customFormat="false" ht="15" hidden="false" customHeight="false" outlineLevel="0" collapsed="false">
      <c r="A98" s="7" t="s">
        <v>411</v>
      </c>
      <c r="B98" s="23" t="n">
        <f aca="false">Assumptions!$F$73</f>
        <v>0.3</v>
      </c>
      <c r="C98" s="18" t="n">
        <f aca="false">Assumptions!$F$58*B98</f>
        <v>2700</v>
      </c>
      <c r="D98" s="20" t="n">
        <f aca="false">Assumptions!$F$45</f>
        <v>19.2</v>
      </c>
      <c r="E98" s="24" t="n">
        <f aca="false">(Assumptions!$F$8+Assumptions!$F$15*Assumptions!$F$30)*Assumptions!$F$21</f>
        <v>5580</v>
      </c>
      <c r="F98" s="19" t="n">
        <f aca="false">E98*Assumptions!$F$22*Assumptions!$F$26</f>
        <v>376.65</v>
      </c>
      <c r="G98" s="19" t="n">
        <f aca="false">IFERROR(C98/D98,0)</f>
        <v>140.625</v>
      </c>
      <c r="H98" s="19" t="n">
        <f aca="false">MIN(F98,G98)</f>
        <v>140.625</v>
      </c>
      <c r="I98" s="17" t="str">
        <f aca="false">IF(G98&gt;F98,"Yes","No")</f>
        <v>No</v>
      </c>
      <c r="J98" s="18" t="n">
        <f aca="false">H98*D98</f>
        <v>2700</v>
      </c>
      <c r="K98" s="18" t="n">
        <f aca="false">C98-J98</f>
        <v>0</v>
      </c>
      <c r="L98" s="19" t="n">
        <f aca="false">H98*Assumptions!$F$51</f>
        <v>19.6875</v>
      </c>
      <c r="M98" s="19" t="n">
        <f aca="false">L98*Assumptions!$F$52</f>
        <v>11.8125</v>
      </c>
      <c r="N98" s="19" t="n">
        <f aca="false">M98*Assumptions!$F$53</f>
        <v>9.45</v>
      </c>
      <c r="O98" s="19" t="n">
        <f aca="false">N98*Assumptions!$F$54</f>
        <v>8.694</v>
      </c>
      <c r="P98" s="21" t="n">
        <f aca="false">IF(M98&gt;0,J98/M98,0)</f>
        <v>228.571428571429</v>
      </c>
      <c r="Q98" s="21" t="n">
        <f aca="false">IF(N98&gt;0,J98/N98,0)</f>
        <v>285.714285714286</v>
      </c>
      <c r="R98" s="21" t="n">
        <f aca="false">IF(O98&gt;0,J98/O98,0)</f>
        <v>310.55900621118</v>
      </c>
    </row>
    <row r="99" customFormat="false" ht="15" hidden="false" customHeight="false" outlineLevel="0" collapsed="false">
      <c r="A99" s="7" t="s">
        <v>412</v>
      </c>
      <c r="B99" s="23" t="n">
        <f aca="false">Assumptions!$F$74</f>
        <v>0.1</v>
      </c>
      <c r="C99" s="18" t="n">
        <f aca="false">Assumptions!$F$58*B99</f>
        <v>900</v>
      </c>
      <c r="D99" s="20" t="n">
        <f aca="false">Assumptions!$F$46</f>
        <v>15.6</v>
      </c>
      <c r="E99" s="24" t="n">
        <f aca="false">(Assumptions!$F$9+Assumptions!$F$16*Assumptions!$F$30)*Assumptions!$F$21</f>
        <v>1777.5</v>
      </c>
      <c r="F99" s="19" t="n">
        <f aca="false">E99*Assumptions!$F$22*Assumptions!$F$26</f>
        <v>119.98125</v>
      </c>
      <c r="G99" s="19" t="n">
        <f aca="false">IFERROR(C99/D99,0)</f>
        <v>57.6923076923077</v>
      </c>
      <c r="H99" s="19" t="n">
        <f aca="false">MIN(F99,G99)</f>
        <v>57.6923076923077</v>
      </c>
      <c r="I99" s="17" t="str">
        <f aca="false">IF(G99&gt;F99,"Yes","No")</f>
        <v>No</v>
      </c>
      <c r="J99" s="18" t="n">
        <f aca="false">H99*D99</f>
        <v>900</v>
      </c>
      <c r="K99" s="18" t="n">
        <f aca="false">C99-J99</f>
        <v>0</v>
      </c>
      <c r="L99" s="19" t="n">
        <f aca="false">H99*Assumptions!$F$51</f>
        <v>8.07692307692308</v>
      </c>
      <c r="M99" s="19" t="n">
        <f aca="false">L99*Assumptions!$F$52</f>
        <v>4.84615384615385</v>
      </c>
      <c r="N99" s="19" t="n">
        <f aca="false">M99*Assumptions!$F$53</f>
        <v>3.87692307692308</v>
      </c>
      <c r="O99" s="19" t="n">
        <f aca="false">N99*Assumptions!$F$54</f>
        <v>3.56676923076923</v>
      </c>
      <c r="P99" s="21" t="n">
        <f aca="false">IF(M99&gt;0,J99/M99,0)</f>
        <v>185.714285714286</v>
      </c>
      <c r="Q99" s="21" t="n">
        <f aca="false">IF(N99&gt;0,J99/N99,0)</f>
        <v>232.142857142857</v>
      </c>
      <c r="R99" s="21" t="n">
        <f aca="false">IF(O99&gt;0,J99/O99,0)</f>
        <v>252.329192546584</v>
      </c>
    </row>
    <row r="100" customFormat="false" ht="15" hidden="false" customHeight="false" outlineLevel="0" collapsed="false">
      <c r="A100" s="7" t="s">
        <v>312</v>
      </c>
      <c r="B100" s="23" t="n">
        <f aca="false">Assumptions!$F$75</f>
        <v>0.12</v>
      </c>
      <c r="C100" s="18" t="n">
        <f aca="false">Assumptions!$F$58*B100</f>
        <v>1080</v>
      </c>
      <c r="D100" s="20" t="n">
        <f aca="false">Assumptions!$F$47</f>
        <v>15.6</v>
      </c>
      <c r="E100" s="24" t="n">
        <f aca="false">(Assumptions!$F$10+Assumptions!$F$17*Assumptions!$F$30)*Assumptions!$F$21</f>
        <v>2752.5</v>
      </c>
      <c r="F100" s="19" t="n">
        <f aca="false">E100*Assumptions!$F$22*Assumptions!$F$26</f>
        <v>185.79375</v>
      </c>
      <c r="G100" s="19" t="n">
        <f aca="false">IFERROR(C100/D100,0)</f>
        <v>69.2307692307692</v>
      </c>
      <c r="H100" s="19" t="n">
        <f aca="false">MIN(F100,G100)</f>
        <v>69.2307692307692</v>
      </c>
      <c r="I100" s="17" t="str">
        <f aca="false">IF(G100&gt;F100,"Yes","No")</f>
        <v>No</v>
      </c>
      <c r="J100" s="18" t="n">
        <f aca="false">H100*D100</f>
        <v>1080</v>
      </c>
      <c r="K100" s="18" t="n">
        <f aca="false">C100-J100</f>
        <v>0</v>
      </c>
      <c r="L100" s="19" t="n">
        <f aca="false">H100*Assumptions!$F$51</f>
        <v>9.69230769230769</v>
      </c>
      <c r="M100" s="19" t="n">
        <f aca="false">L100*Assumptions!$F$52</f>
        <v>5.81538461538462</v>
      </c>
      <c r="N100" s="19" t="n">
        <f aca="false">M100*Assumptions!$F$53</f>
        <v>4.65230769230769</v>
      </c>
      <c r="O100" s="19" t="n">
        <f aca="false">N100*Assumptions!$F$54</f>
        <v>4.28012307692308</v>
      </c>
      <c r="P100" s="21" t="n">
        <f aca="false">IF(M100&gt;0,J100/M100,0)</f>
        <v>185.714285714286</v>
      </c>
      <c r="Q100" s="21" t="n">
        <f aca="false">IF(N100&gt;0,J100/N100,0)</f>
        <v>232.142857142857</v>
      </c>
      <c r="R100" s="21" t="n">
        <f aca="false">IF(O100&gt;0,J100/O100,0)</f>
        <v>252.329192546584</v>
      </c>
    </row>
    <row r="101" customFormat="false" ht="15" hidden="false" customHeight="false" outlineLevel="0" collapsed="false">
      <c r="A101" s="7" t="s">
        <v>413</v>
      </c>
      <c r="B101" s="23" t="n">
        <f aca="false">Assumptions!$F$76</f>
        <v>0.07</v>
      </c>
      <c r="C101" s="18" t="n">
        <f aca="false">Assumptions!$F$58*B101</f>
        <v>630</v>
      </c>
      <c r="D101" s="20" t="n">
        <f aca="false">Assumptions!$F$48</f>
        <v>14.4</v>
      </c>
      <c r="E101" s="24" t="n">
        <f aca="false">(Assumptions!$F$11+Assumptions!$F$18*Assumptions!$F$30)*Assumptions!$F$21</f>
        <v>2932.5</v>
      </c>
      <c r="F101" s="19" t="n">
        <f aca="false">E101*Assumptions!$F$22*Assumptions!$F$26</f>
        <v>197.94375</v>
      </c>
      <c r="G101" s="19" t="n">
        <f aca="false">IFERROR(C101/D101,0)</f>
        <v>43.75</v>
      </c>
      <c r="H101" s="19" t="n">
        <f aca="false">MIN(F101,G101)</f>
        <v>43.75</v>
      </c>
      <c r="I101" s="17" t="str">
        <f aca="false">IF(G101&gt;F101,"Yes","No")</f>
        <v>No</v>
      </c>
      <c r="J101" s="18" t="n">
        <f aca="false">H101*D101</f>
        <v>630</v>
      </c>
      <c r="K101" s="18" t="n">
        <f aca="false">C101-J101</f>
        <v>0</v>
      </c>
      <c r="L101" s="19" t="n">
        <f aca="false">H101*Assumptions!$F$51</f>
        <v>6.125</v>
      </c>
      <c r="M101" s="19" t="n">
        <f aca="false">L101*Assumptions!$F$52</f>
        <v>3.675</v>
      </c>
      <c r="N101" s="19" t="n">
        <f aca="false">M101*Assumptions!$F$53</f>
        <v>2.94</v>
      </c>
      <c r="O101" s="19" t="n">
        <f aca="false">N101*Assumptions!$F$54</f>
        <v>2.7048</v>
      </c>
      <c r="P101" s="21" t="n">
        <f aca="false">IF(M101&gt;0,J101/M101,0)</f>
        <v>171.428571428571</v>
      </c>
      <c r="Q101" s="21" t="n">
        <f aca="false">IF(N101&gt;0,J101/N101,0)</f>
        <v>214.285714285714</v>
      </c>
      <c r="R101" s="21" t="n">
        <f aca="false">IF(O101&gt;0,J101/O101,0)</f>
        <v>232.919254658385</v>
      </c>
    </row>
    <row r="102" customFormat="false" ht="15" hidden="false" customHeight="false" outlineLevel="0" collapsed="false">
      <c r="A102" s="7" t="s">
        <v>414</v>
      </c>
      <c r="B102" s="23" t="n">
        <f aca="false">Assumptions!$F$77</f>
        <v>0.11</v>
      </c>
      <c r="C102" s="18" t="n">
        <f aca="false">Assumptions!$F$58*B102</f>
        <v>990</v>
      </c>
      <c r="D102" s="20" t="n">
        <f aca="false">Assumptions!$F$49</f>
        <v>15.6</v>
      </c>
      <c r="E102" s="24" t="n">
        <f aca="false">(Assumptions!$F$12+Assumptions!$F$19*Assumptions!$F$30)*Assumptions!$F$21</f>
        <v>2317.5</v>
      </c>
      <c r="F102" s="19" t="n">
        <f aca="false">E102*Assumptions!$F$22*Assumptions!$F$26</f>
        <v>156.43125</v>
      </c>
      <c r="G102" s="19" t="n">
        <f aca="false">IFERROR(C102/D102,0)</f>
        <v>63.4615384615385</v>
      </c>
      <c r="H102" s="19" t="n">
        <f aca="false">MIN(F102,G102)</f>
        <v>63.4615384615385</v>
      </c>
      <c r="I102" s="17" t="str">
        <f aca="false">IF(G102&gt;F102,"Yes","No")</f>
        <v>No</v>
      </c>
      <c r="J102" s="18" t="n">
        <f aca="false">H102*D102</f>
        <v>990</v>
      </c>
      <c r="K102" s="18" t="n">
        <f aca="false">C102-J102</f>
        <v>0</v>
      </c>
      <c r="L102" s="19" t="n">
        <f aca="false">H102*Assumptions!$F$51</f>
        <v>8.88461538461539</v>
      </c>
      <c r="M102" s="19" t="n">
        <f aca="false">L102*Assumptions!$F$52</f>
        <v>5.33076923076923</v>
      </c>
      <c r="N102" s="19" t="n">
        <f aca="false">M102*Assumptions!$F$53</f>
        <v>4.26461538461539</v>
      </c>
      <c r="O102" s="19" t="n">
        <f aca="false">N102*Assumptions!$F$54</f>
        <v>3.92344615384615</v>
      </c>
      <c r="P102" s="21" t="n">
        <f aca="false">IF(M102&gt;0,J102/M102,0)</f>
        <v>185.714285714286</v>
      </c>
      <c r="Q102" s="21" t="n">
        <f aca="false">IF(N102&gt;0,J102/N102,0)</f>
        <v>232.142857142857</v>
      </c>
      <c r="R102" s="21" t="n">
        <f aca="false">IF(O102&gt;0,J102/O102,0)</f>
        <v>252.329192546584</v>
      </c>
    </row>
    <row r="103" customFormat="false" ht="15" hidden="false" customHeight="false" outlineLevel="0" collapsed="false">
      <c r="A103" s="25" t="s">
        <v>415</v>
      </c>
      <c r="B103" s="26" t="n">
        <f aca="false">SUM(B97:B102)</f>
        <v>1</v>
      </c>
      <c r="C103" s="27" t="n">
        <f aca="false">SUM(C97:C102)</f>
        <v>9000</v>
      </c>
      <c r="D103" s="28" t="n">
        <f aca="false">IF(H103&gt;0,J103/H103,0)</f>
        <v>17.4626865671642</v>
      </c>
      <c r="E103" s="29" t="n">
        <f aca="false">SUM(E97:E102)</f>
        <v>19472.25</v>
      </c>
      <c r="F103" s="30" t="n">
        <f aca="false">SUM(F97:F102)</f>
        <v>1314.376875</v>
      </c>
      <c r="G103" s="30" t="n">
        <f aca="false">SUM(G97:G102)</f>
        <v>515.384615384615</v>
      </c>
      <c r="H103" s="30" t="n">
        <f aca="false">SUM(H97:H102)</f>
        <v>515.384615384615</v>
      </c>
      <c r="I103" s="31" t="str">
        <f aca="false">IF(COUNTIF(I97:I102,"Yes")&gt;0,"Yes, some","No")</f>
        <v>No</v>
      </c>
      <c r="J103" s="27" t="n">
        <f aca="false">SUM(J97:J102)</f>
        <v>9000</v>
      </c>
      <c r="K103" s="27" t="n">
        <f aca="false">SUM(K97:K102)</f>
        <v>0</v>
      </c>
      <c r="L103" s="30" t="n">
        <f aca="false">SUM(L97:L102)</f>
        <v>72.1538461538462</v>
      </c>
      <c r="M103" s="30" t="n">
        <f aca="false">SUM(M97:M102)</f>
        <v>43.2923076923077</v>
      </c>
      <c r="N103" s="30" t="n">
        <f aca="false">SUM(N97:N102)</f>
        <v>34.6338461538462</v>
      </c>
      <c r="O103" s="30" t="n">
        <f aca="false">SUM(O97:O102)</f>
        <v>31.8631384615385</v>
      </c>
      <c r="P103" s="32" t="n">
        <f aca="false">IF(M103&gt;0,J103/M103,0)</f>
        <v>207.889125799574</v>
      </c>
      <c r="Q103" s="32" t="n">
        <f aca="false">IF(N103&gt;0,J103/N103,0)</f>
        <v>259.861407249467</v>
      </c>
      <c r="R103" s="32" t="n">
        <f aca="false">IF(O103&gt;0,J103/O103,0)</f>
        <v>282.458051358116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60"/>
    <col collapsed="false" customWidth="true" hidden="false" outlineLevel="0" max="4" min="4" style="1" width="20"/>
    <col collapsed="false" customWidth="true" hidden="false" outlineLevel="0" max="5" min="5" style="1" width="52"/>
    <col collapsed="false" customWidth="true" hidden="false" outlineLevel="0" max="6" min="6" style="1" width="16"/>
    <col collapsed="false" customWidth="true" hidden="false" outlineLevel="0" max="7" min="7" style="1" width="24"/>
    <col collapsed="false" customWidth="true" hidden="false" outlineLevel="0" max="8" min="8" style="1" width="20"/>
  </cols>
  <sheetData>
    <row r="1" customFormat="false" ht="15" hidden="false" customHeight="false" outlineLevel="0" collapsed="false">
      <c r="A1" s="2" t="s">
        <v>424</v>
      </c>
    </row>
    <row r="2" customFormat="false" ht="15" hidden="false" customHeight="false" outlineLevel="0" collapsed="false">
      <c r="A2" s="3" t="s">
        <v>425</v>
      </c>
    </row>
    <row r="3" customFormat="false" ht="15" hidden="false" customHeight="false" outlineLevel="0" collapsed="false">
      <c r="A3" s="4" t="s">
        <v>426</v>
      </c>
      <c r="B3" s="4" t="s">
        <v>427</v>
      </c>
      <c r="C3" s="4" t="s">
        <v>428</v>
      </c>
      <c r="D3" s="4" t="s">
        <v>429</v>
      </c>
      <c r="E3" s="4" t="s">
        <v>430</v>
      </c>
      <c r="F3" s="4" t="s">
        <v>431</v>
      </c>
      <c r="G3" s="4" t="s">
        <v>5</v>
      </c>
      <c r="H3" s="4" t="s">
        <v>432</v>
      </c>
    </row>
    <row r="4" customFormat="false" ht="46.25" hidden="false" customHeight="false" outlineLevel="0" collapsed="false">
      <c r="A4" s="33" t="s">
        <v>433</v>
      </c>
      <c r="B4" s="33" t="s">
        <v>434</v>
      </c>
      <c r="C4" s="33" t="s">
        <v>435</v>
      </c>
      <c r="D4" s="33" t="s">
        <v>436</v>
      </c>
      <c r="E4" s="33" t="s">
        <v>437</v>
      </c>
      <c r="F4" s="33"/>
      <c r="G4" s="33"/>
      <c r="H4" s="33" t="s">
        <v>438</v>
      </c>
    </row>
    <row r="5" customFormat="false" ht="15" hidden="false" customHeight="false" outlineLevel="0" collapsed="false">
      <c r="A5" s="33" t="s">
        <v>439</v>
      </c>
      <c r="B5" s="33" t="s">
        <v>440</v>
      </c>
      <c r="C5" s="33" t="s">
        <v>441</v>
      </c>
      <c r="D5" s="33" t="s">
        <v>442</v>
      </c>
      <c r="E5" s="33" t="s">
        <v>443</v>
      </c>
      <c r="F5" s="34" t="n">
        <f aca="false">Assumptions!$E$56</f>
        <v>3000</v>
      </c>
      <c r="G5" s="33" t="s">
        <v>94</v>
      </c>
      <c r="H5" s="33" t="s">
        <v>93</v>
      </c>
    </row>
    <row r="6" customFormat="false" ht="15" hidden="false" customHeight="false" outlineLevel="0" collapsed="false">
      <c r="A6" s="33" t="s">
        <v>439</v>
      </c>
      <c r="B6" s="33" t="s">
        <v>440</v>
      </c>
      <c r="C6" s="33" t="s">
        <v>444</v>
      </c>
      <c r="D6" s="33" t="s">
        <v>442</v>
      </c>
      <c r="E6" s="33" t="s">
        <v>445</v>
      </c>
      <c r="F6" s="34" t="n">
        <f aca="false">Assumptions!$E$56/Assumptions!$E$80</f>
        <v>98.6842105263158</v>
      </c>
      <c r="G6" s="33" t="s">
        <v>446</v>
      </c>
      <c r="H6" s="33" t="s">
        <v>447</v>
      </c>
    </row>
    <row r="7" customFormat="false" ht="23.85" hidden="false" customHeight="false" outlineLevel="0" collapsed="false">
      <c r="A7" s="33" t="s">
        <v>439</v>
      </c>
      <c r="B7" s="33" t="s">
        <v>448</v>
      </c>
      <c r="C7" s="33" t="s">
        <v>449</v>
      </c>
      <c r="D7" s="33" t="s">
        <v>442</v>
      </c>
      <c r="E7" s="33" t="s">
        <v>450</v>
      </c>
      <c r="F7" s="35" t="n">
        <f aca="false">Assumptions!$F$32</f>
        <v>16</v>
      </c>
      <c r="G7" s="33" t="s">
        <v>56</v>
      </c>
      <c r="H7" s="33" t="s">
        <v>451</v>
      </c>
    </row>
    <row r="8" customFormat="false" ht="23.85" hidden="false" customHeight="false" outlineLevel="0" collapsed="false">
      <c r="A8" s="33" t="s">
        <v>452</v>
      </c>
      <c r="B8" s="33" t="s">
        <v>453</v>
      </c>
      <c r="C8" s="33" t="s">
        <v>454</v>
      </c>
      <c r="D8" s="33" t="s">
        <v>455</v>
      </c>
      <c r="E8" s="33" t="s">
        <v>456</v>
      </c>
      <c r="F8" s="33"/>
      <c r="G8" s="33"/>
      <c r="H8" s="33" t="s">
        <v>457</v>
      </c>
    </row>
    <row r="9" customFormat="false" ht="23.85" hidden="false" customHeight="false" outlineLevel="0" collapsed="false">
      <c r="A9" s="33" t="s">
        <v>458</v>
      </c>
      <c r="B9" s="33" t="s">
        <v>459</v>
      </c>
      <c r="C9" s="33" t="s">
        <v>460</v>
      </c>
      <c r="D9" s="33" t="s">
        <v>461</v>
      </c>
      <c r="E9" s="33" t="s">
        <v>462</v>
      </c>
      <c r="F9" s="36" t="n">
        <f aca="false">Tiers!$H$4</f>
        <v>2.7648</v>
      </c>
      <c r="G9" s="33" t="s">
        <v>463</v>
      </c>
      <c r="H9" s="33" t="s">
        <v>464</v>
      </c>
    </row>
    <row r="10" customFormat="false" ht="15" hidden="false" customHeight="false" outlineLevel="0" collapsed="false">
      <c r="A10" s="33" t="s">
        <v>458</v>
      </c>
      <c r="B10" s="33" t="s">
        <v>459</v>
      </c>
      <c r="C10" s="33" t="s">
        <v>465</v>
      </c>
      <c r="D10" s="33" t="s">
        <v>442</v>
      </c>
      <c r="E10" s="33" t="s">
        <v>466</v>
      </c>
      <c r="F10" s="36" t="n">
        <f aca="false">Tiers!$H$5</f>
        <v>20.82</v>
      </c>
      <c r="G10" s="33" t="s">
        <v>463</v>
      </c>
      <c r="H10" s="33" t="s">
        <v>464</v>
      </c>
    </row>
    <row r="11" customFormat="false" ht="15" hidden="false" customHeight="false" outlineLevel="0" collapsed="false">
      <c r="A11" s="33" t="s">
        <v>458</v>
      </c>
      <c r="B11" s="33" t="s">
        <v>459</v>
      </c>
      <c r="C11" s="33" t="s">
        <v>465</v>
      </c>
      <c r="D11" s="33" t="s">
        <v>442</v>
      </c>
      <c r="E11" s="33" t="s">
        <v>467</v>
      </c>
      <c r="F11" s="36" t="n">
        <f aca="false">Tiers!$H$6</f>
        <v>27.1586538461539</v>
      </c>
      <c r="G11" s="33" t="s">
        <v>463</v>
      </c>
      <c r="H11" s="33" t="s">
        <v>464</v>
      </c>
    </row>
    <row r="12" customFormat="false" ht="23.85" hidden="false" customHeight="false" outlineLevel="0" collapsed="false">
      <c r="A12" s="33" t="s">
        <v>458</v>
      </c>
      <c r="B12" s="33" t="s">
        <v>459</v>
      </c>
      <c r="C12" s="33" t="s">
        <v>468</v>
      </c>
      <c r="D12" s="33" t="s">
        <v>469</v>
      </c>
      <c r="E12" s="33" t="s">
        <v>470</v>
      </c>
      <c r="F12" s="37" t="n">
        <f aca="false">Assumptions!$D$52</f>
        <v>0.3</v>
      </c>
      <c r="G12" s="33" t="s">
        <v>471</v>
      </c>
      <c r="H12" s="33" t="s">
        <v>472</v>
      </c>
    </row>
    <row r="13" customFormat="false" ht="35.05" hidden="false" customHeight="false" outlineLevel="0" collapsed="false">
      <c r="A13" s="33" t="s">
        <v>473</v>
      </c>
      <c r="B13" s="33" t="s">
        <v>459</v>
      </c>
      <c r="C13" s="33" t="s">
        <v>474</v>
      </c>
      <c r="D13" s="33" t="s">
        <v>442</v>
      </c>
      <c r="E13" s="33" t="s">
        <v>475</v>
      </c>
      <c r="F13" s="37" t="n">
        <f aca="false">Assumptions!$E$22</f>
        <v>0.6</v>
      </c>
      <c r="G13" s="33" t="s">
        <v>476</v>
      </c>
      <c r="H13" s="33" t="s">
        <v>36</v>
      </c>
    </row>
    <row r="14" customFormat="false" ht="23.85" hidden="false" customHeight="false" outlineLevel="0" collapsed="false">
      <c r="A14" s="33" t="s">
        <v>477</v>
      </c>
      <c r="B14" s="33" t="s">
        <v>478</v>
      </c>
      <c r="C14" s="33" t="s">
        <v>479</v>
      </c>
      <c r="D14" s="33" t="s">
        <v>442</v>
      </c>
      <c r="E14" s="33" t="s">
        <v>480</v>
      </c>
      <c r="F14" s="36" t="n">
        <f aca="false">Assumptions!$E$81</f>
        <v>15</v>
      </c>
      <c r="G14" s="33" t="s">
        <v>130</v>
      </c>
      <c r="H14" s="33" t="s">
        <v>129</v>
      </c>
    </row>
    <row r="15" customFormat="false" ht="35.05" hidden="false" customHeight="false" outlineLevel="0" collapsed="false">
      <c r="A15" s="33" t="s">
        <v>481</v>
      </c>
      <c r="B15" s="33" t="s">
        <v>482</v>
      </c>
      <c r="C15" s="33" t="s">
        <v>483</v>
      </c>
      <c r="D15" s="33" t="s">
        <v>436</v>
      </c>
      <c r="E15" s="33" t="s">
        <v>484</v>
      </c>
      <c r="F15" s="34" t="n">
        <f aca="false">Assumptions!$E$57*(Assumptions!$E$69+Assumptions!$E$70+Assumptions!$E$71)</f>
        <v>1680</v>
      </c>
      <c r="G15" s="33" t="s">
        <v>94</v>
      </c>
      <c r="H15" s="33" t="s">
        <v>100</v>
      </c>
    </row>
    <row r="16" customFormat="false" ht="23.85" hidden="false" customHeight="false" outlineLevel="0" collapsed="false">
      <c r="A16" s="33" t="s">
        <v>481</v>
      </c>
      <c r="B16" s="33" t="s">
        <v>482</v>
      </c>
      <c r="C16" s="33" t="s">
        <v>485</v>
      </c>
      <c r="D16" s="33" t="s">
        <v>442</v>
      </c>
      <c r="E16" s="33" t="s">
        <v>480</v>
      </c>
      <c r="F16" s="36" t="n">
        <f aca="false">Assumptions!$E$82</f>
        <v>30</v>
      </c>
      <c r="G16" s="33" t="s">
        <v>130</v>
      </c>
      <c r="H16" s="33" t="s">
        <v>133</v>
      </c>
    </row>
    <row r="17" customFormat="false" ht="23.85" hidden="false" customHeight="false" outlineLevel="0" collapsed="false">
      <c r="A17" s="33" t="s">
        <v>486</v>
      </c>
      <c r="B17" s="33" t="s">
        <v>487</v>
      </c>
      <c r="C17" s="33" t="s">
        <v>488</v>
      </c>
      <c r="D17" s="33" t="s">
        <v>436</v>
      </c>
      <c r="E17" s="33" t="s">
        <v>489</v>
      </c>
      <c r="F17" s="34" t="n">
        <f aca="false">Tiers!$L$5</f>
        <v>218.764008965738</v>
      </c>
      <c r="G17" s="33" t="s">
        <v>490</v>
      </c>
      <c r="H17" s="33" t="s">
        <v>464</v>
      </c>
    </row>
    <row r="18" customFormat="false" ht="23.85" hidden="false" customHeight="false" outlineLevel="0" collapsed="false">
      <c r="A18" s="33" t="s">
        <v>486</v>
      </c>
      <c r="B18" s="33" t="s">
        <v>487</v>
      </c>
      <c r="C18" s="33" t="s">
        <v>491</v>
      </c>
      <c r="D18" s="33" t="s">
        <v>436</v>
      </c>
      <c r="E18" s="33" t="s">
        <v>492</v>
      </c>
      <c r="F18" s="34" t="n">
        <f aca="false">Tiers!$L$4</f>
        <v>381.944444444444</v>
      </c>
      <c r="G18" s="33" t="s">
        <v>490</v>
      </c>
      <c r="H18" s="33" t="s">
        <v>464</v>
      </c>
    </row>
    <row r="19" customFormat="false" ht="23.85" hidden="false" customHeight="false" outlineLevel="0" collapsed="false">
      <c r="A19" s="33" t="s">
        <v>486</v>
      </c>
      <c r="B19" s="33" t="s">
        <v>487</v>
      </c>
      <c r="C19" s="33" t="s">
        <v>491</v>
      </c>
      <c r="D19" s="33" t="s">
        <v>436</v>
      </c>
      <c r="E19" s="33" t="s">
        <v>493</v>
      </c>
      <c r="F19" s="34" t="n">
        <f aca="false">Tiers!$L$4</f>
        <v>381.944444444444</v>
      </c>
      <c r="G19" s="33" t="s">
        <v>490</v>
      </c>
      <c r="H19" s="33" t="s">
        <v>464</v>
      </c>
    </row>
    <row r="20" customFormat="false" ht="23.85" hidden="false" customHeight="false" outlineLevel="0" collapsed="false">
      <c r="A20" s="33" t="s">
        <v>486</v>
      </c>
      <c r="B20" s="33" t="s">
        <v>487</v>
      </c>
      <c r="C20" s="33" t="s">
        <v>494</v>
      </c>
      <c r="D20" s="33" t="s">
        <v>436</v>
      </c>
      <c r="E20" s="33" t="s">
        <v>495</v>
      </c>
      <c r="F20" s="34" t="n">
        <f aca="false">Tiers!$N$5</f>
        <v>395.952957404051</v>
      </c>
      <c r="G20" s="33" t="s">
        <v>496</v>
      </c>
      <c r="H20" s="33" t="s">
        <v>464</v>
      </c>
    </row>
    <row r="21" customFormat="false" ht="15" hidden="false" customHeight="false" outlineLevel="0" collapsed="false">
      <c r="A21" s="33" t="s">
        <v>486</v>
      </c>
      <c r="B21" s="33" t="s">
        <v>487</v>
      </c>
      <c r="C21" s="33" t="s">
        <v>491</v>
      </c>
      <c r="D21" s="33" t="s">
        <v>436</v>
      </c>
      <c r="E21" s="33" t="s">
        <v>497</v>
      </c>
      <c r="F21" s="34" t="n">
        <f aca="false">Tiers!$N$4</f>
        <v>1018.51851851852</v>
      </c>
      <c r="G21" s="33" t="s">
        <v>496</v>
      </c>
      <c r="H21" s="33" t="s">
        <v>464</v>
      </c>
    </row>
    <row r="22" customFormat="false" ht="15" hidden="false" customHeight="false" outlineLevel="0" collapsed="false">
      <c r="A22" s="33" t="s">
        <v>486</v>
      </c>
      <c r="B22" s="33" t="s">
        <v>498</v>
      </c>
      <c r="C22" s="33" t="s">
        <v>499</v>
      </c>
      <c r="D22" s="33" t="s">
        <v>500</v>
      </c>
      <c r="E22" s="33" t="s">
        <v>501</v>
      </c>
      <c r="F22" s="34" t="n">
        <f aca="false">Assumptions!$E$57</f>
        <v>6000</v>
      </c>
      <c r="G22" s="33" t="s">
        <v>94</v>
      </c>
      <c r="H22" s="33" t="s">
        <v>93</v>
      </c>
    </row>
    <row r="23" customFormat="false" ht="15" hidden="false" customHeight="false" outlineLevel="0" collapsed="false">
      <c r="A23" s="33" t="s">
        <v>486</v>
      </c>
      <c r="B23" s="33" t="s">
        <v>498</v>
      </c>
      <c r="C23" s="33" t="s">
        <v>502</v>
      </c>
      <c r="D23" s="33" t="s">
        <v>442</v>
      </c>
      <c r="E23" s="33" t="s">
        <v>503</v>
      </c>
      <c r="F23" s="36" t="n">
        <f aca="false">Tiers!$K$8</f>
        <v>8.7323315625</v>
      </c>
      <c r="G23" s="33" t="s">
        <v>504</v>
      </c>
      <c r="H23" s="33" t="s">
        <v>464</v>
      </c>
    </row>
    <row r="24" customFormat="false" ht="15" hidden="false" customHeight="false" outlineLevel="0" collapsed="false">
      <c r="A24" s="33" t="s">
        <v>505</v>
      </c>
      <c r="B24" s="33" t="s">
        <v>506</v>
      </c>
      <c r="C24" s="33" t="s">
        <v>507</v>
      </c>
      <c r="D24" s="33" t="s">
        <v>442</v>
      </c>
      <c r="E24" s="33" t="s">
        <v>508</v>
      </c>
      <c r="F24" s="34" t="n">
        <f aca="false">Assumptions!$E$56*Assumptions!$E$79</f>
        <v>9000</v>
      </c>
      <c r="G24" s="33" t="s">
        <v>509</v>
      </c>
      <c r="H24" s="33" t="s">
        <v>447</v>
      </c>
    </row>
    <row r="25" customFormat="false" ht="15" hidden="false" customHeight="false" outlineLevel="0" collapsed="false">
      <c r="A25" s="33" t="s">
        <v>505</v>
      </c>
      <c r="B25" s="33" t="s">
        <v>506</v>
      </c>
      <c r="C25" s="33" t="s">
        <v>510</v>
      </c>
      <c r="D25" s="33" t="s">
        <v>442</v>
      </c>
      <c r="E25" s="33" t="s">
        <v>511</v>
      </c>
      <c r="F25" s="34" t="n">
        <f aca="false">Tiers!$D$4*Assumptions!$D$79</f>
        <v>950.4</v>
      </c>
      <c r="G25" s="33" t="s">
        <v>509</v>
      </c>
      <c r="H25" s="33" t="s">
        <v>464</v>
      </c>
    </row>
    <row r="26" customFormat="false" ht="15" hidden="false" customHeight="false" outlineLevel="0" collapsed="false">
      <c r="A26" s="33" t="s">
        <v>505</v>
      </c>
      <c r="B26" s="33" t="s">
        <v>506</v>
      </c>
      <c r="C26" s="33" t="s">
        <v>512</v>
      </c>
      <c r="D26" s="33" t="s">
        <v>442</v>
      </c>
      <c r="E26" s="33" t="s">
        <v>511</v>
      </c>
      <c r="F26" s="34" t="n">
        <f aca="false">Tiers!$D$5*Assumptions!$E$79</f>
        <v>6148.8</v>
      </c>
      <c r="G26" s="33" t="s">
        <v>509</v>
      </c>
      <c r="H26" s="33" t="s">
        <v>464</v>
      </c>
    </row>
    <row r="27" customFormat="false" ht="15" hidden="false" customHeight="false" outlineLevel="0" collapsed="false">
      <c r="A27" s="33" t="s">
        <v>505</v>
      </c>
      <c r="B27" s="33" t="s">
        <v>506</v>
      </c>
      <c r="C27" s="33" t="s">
        <v>513</v>
      </c>
      <c r="D27" s="33" t="s">
        <v>442</v>
      </c>
      <c r="E27" s="33" t="s">
        <v>511</v>
      </c>
      <c r="F27" s="34" t="n">
        <f aca="false">Tiers!$D$6*Assumptions!$F$79</f>
        <v>9000</v>
      </c>
      <c r="G27" s="33" t="s">
        <v>509</v>
      </c>
      <c r="H27" s="33" t="s">
        <v>464</v>
      </c>
    </row>
    <row r="28" customFormat="false" ht="15" hidden="false" customHeight="false" outlineLevel="0" collapsed="false">
      <c r="A28" s="33" t="s">
        <v>505</v>
      </c>
      <c r="B28" s="33" t="s">
        <v>506</v>
      </c>
      <c r="C28" s="33" t="s">
        <v>514</v>
      </c>
      <c r="D28" s="33" t="s">
        <v>515</v>
      </c>
      <c r="E28" s="33" t="s">
        <v>516</v>
      </c>
      <c r="F28" s="36" t="n">
        <f aca="false">Tiers!$I$4*Assumptions!$D$79</f>
        <v>2.48832</v>
      </c>
      <c r="G28" s="33" t="s">
        <v>517</v>
      </c>
      <c r="H28" s="33" t="s">
        <v>464</v>
      </c>
    </row>
    <row r="29" customFormat="false" ht="15" hidden="false" customHeight="false" outlineLevel="0" collapsed="false">
      <c r="A29" s="33" t="s">
        <v>505</v>
      </c>
      <c r="B29" s="33" t="s">
        <v>506</v>
      </c>
      <c r="C29" s="33" t="s">
        <v>518</v>
      </c>
      <c r="D29" s="33" t="s">
        <v>515</v>
      </c>
      <c r="E29" s="33" t="s">
        <v>516</v>
      </c>
      <c r="F29" s="36" t="n">
        <f aca="false">Tiers!$I$5*Assumptions!$E$79</f>
        <v>28.107</v>
      </c>
      <c r="G29" s="33" t="s">
        <v>519</v>
      </c>
      <c r="H29" s="33" t="s">
        <v>464</v>
      </c>
    </row>
    <row r="30" customFormat="false" ht="15" hidden="false" customHeight="false" outlineLevel="0" collapsed="false">
      <c r="A30" s="33" t="s">
        <v>505</v>
      </c>
      <c r="B30" s="33" t="s">
        <v>506</v>
      </c>
      <c r="C30" s="33" t="s">
        <v>518</v>
      </c>
      <c r="D30" s="33" t="s">
        <v>515</v>
      </c>
      <c r="E30" s="33" t="s">
        <v>516</v>
      </c>
      <c r="F30" s="36" t="n">
        <f aca="false">Tiers!$I$6*Assumptions!$F$79</f>
        <v>48.8855769230769</v>
      </c>
      <c r="G30" s="33" t="s">
        <v>520</v>
      </c>
      <c r="H30" s="33" t="s">
        <v>464</v>
      </c>
    </row>
    <row r="31" customFormat="false" ht="15" hidden="false" customHeight="false" outlineLevel="0" collapsed="false">
      <c r="A31" s="33" t="s">
        <v>505</v>
      </c>
      <c r="B31" s="33" t="s">
        <v>506</v>
      </c>
      <c r="C31" s="33" t="s">
        <v>521</v>
      </c>
      <c r="D31" s="33" t="s">
        <v>515</v>
      </c>
      <c r="E31" s="33" t="s">
        <v>516</v>
      </c>
      <c r="F31" s="36" t="n">
        <f aca="false">Tiers!$K$4*Assumptions!$D$79</f>
        <v>0.93312</v>
      </c>
      <c r="G31" s="33" t="s">
        <v>522</v>
      </c>
      <c r="H31" s="33" t="s">
        <v>464</v>
      </c>
    </row>
    <row r="32" customFormat="false" ht="15" hidden="false" customHeight="false" outlineLevel="0" collapsed="false">
      <c r="A32" s="33" t="s">
        <v>505</v>
      </c>
      <c r="B32" s="33" t="s">
        <v>506</v>
      </c>
      <c r="C32" s="33" t="s">
        <v>518</v>
      </c>
      <c r="D32" s="33" t="s">
        <v>515</v>
      </c>
      <c r="E32" s="33" t="s">
        <v>516</v>
      </c>
      <c r="F32" s="36" t="n">
        <f aca="false">Tiers!$K$5*Assumptions!$E$79</f>
        <v>15.5291175</v>
      </c>
      <c r="G32" s="33" t="s">
        <v>523</v>
      </c>
      <c r="H32" s="33" t="s">
        <v>464</v>
      </c>
    </row>
    <row r="33" customFormat="false" ht="15" hidden="false" customHeight="false" outlineLevel="0" collapsed="false">
      <c r="A33" s="33" t="s">
        <v>505</v>
      </c>
      <c r="B33" s="33" t="s">
        <v>506</v>
      </c>
      <c r="C33" s="33" t="s">
        <v>518</v>
      </c>
      <c r="D33" s="33" t="s">
        <v>515</v>
      </c>
      <c r="E33" s="33" t="s">
        <v>516</v>
      </c>
      <c r="F33" s="36" t="n">
        <f aca="false">Tiers!$K$6*Assumptions!$F$79</f>
        <v>35.9797846153846</v>
      </c>
      <c r="G33" s="33" t="s">
        <v>524</v>
      </c>
      <c r="H33" s="33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2026-09-24T22:35:12Z</dcterms:created>
  <dc:creator>openpyxl</dc:creator>
  <dc:description/>
  <dc:language>en-US</dc:language>
  <cp:lastModifiedBy/>
  <dcterms:modified xsi:type="dcterms:W3CDTF">2026-09-24T22:35:12Z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